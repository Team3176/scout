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2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meliabingaman/Downloads/"/>
    </mc:Choice>
  </mc:AlternateContent>
  <xr:revisionPtr revIDLastSave="0" documentId="13_ncr:1_{16B91164-14DD-E442-BC43-D8D7DB7281CA}" xr6:coauthVersionLast="47" xr6:coauthVersionMax="47" xr10:uidLastSave="{00000000-0000-0000-0000-000000000000}"/>
  <bookViews>
    <workbookView xWindow="0" yWindow="2600" windowWidth="13400" windowHeight="11380" activeTab="1" xr2:uid="{69B330E3-955F-46F7-8CA4-E99CE26A5CBD}"/>
  </bookViews>
  <sheets>
    <sheet name="Control" sheetId="1" r:id="rId1"/>
    <sheet name="Analysis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7" i="2" l="1"/>
  <c r="C5" i="2"/>
  <c r="C4" i="2"/>
  <c r="C3" i="2"/>
  <c r="C2" i="2"/>
  <c r="C6" i="2"/>
</calcChain>
</file>

<file path=xl/sharedStrings.xml><?xml version="1.0" encoding="utf-8"?>
<sst xmlns="http://schemas.openxmlformats.org/spreadsheetml/2006/main" count="4979" uniqueCount="822">
  <si>
    <t>Column34</t>
  </si>
  <si>
    <t>Column35</t>
  </si>
  <si>
    <t>Column36</t>
  </si>
  <si>
    <t>Column37</t>
  </si>
  <si>
    <t>Column38</t>
  </si>
  <si>
    <t>Column39</t>
  </si>
  <si>
    <t>Column40</t>
  </si>
  <si>
    <t>Column41</t>
  </si>
  <si>
    <t>scouter</t>
  </si>
  <si>
    <t>eventCode</t>
  </si>
  <si>
    <t>matchLevel</t>
  </si>
  <si>
    <t>matchNumber</t>
  </si>
  <si>
    <t>robot</t>
  </si>
  <si>
    <t>teamNumber</t>
  </si>
  <si>
    <t>as</t>
  </si>
  <si>
    <t>asg</t>
  </si>
  <si>
    <t>acc</t>
  </si>
  <si>
    <t>acs</t>
  </si>
  <si>
    <t>am</t>
  </si>
  <si>
    <t>ad</t>
  </si>
  <si>
    <t>tct</t>
  </si>
  <si>
    <t>tfc</t>
  </si>
  <si>
    <t>wf</t>
  </si>
  <si>
    <t>wd</t>
  </si>
  <si>
    <t>who</t>
  </si>
  <si>
    <t>lnk</t>
  </si>
  <si>
    <t>fpu</t>
  </si>
  <si>
    <t>dt</t>
  </si>
  <si>
    <t>fs</t>
  </si>
  <si>
    <t>dn</t>
  </si>
  <si>
    <t>ds</t>
  </si>
  <si>
    <t>ls</t>
  </si>
  <si>
    <t>dr</t>
  </si>
  <si>
    <t>sd</t>
  </si>
  <si>
    <t>sr</t>
  </si>
  <si>
    <t>die</t>
  </si>
  <si>
    <t>tip</t>
  </si>
  <si>
    <t>dc</t>
  </si>
  <si>
    <t>all</t>
  </si>
  <si>
    <t>co</t>
  </si>
  <si>
    <t>LPM</t>
  </si>
  <si>
    <t>2023inmish</t>
  </si>
  <si>
    <t>qm</t>
  </si>
  <si>
    <t>r2</t>
  </si>
  <si>
    <t>[71]</t>
  </si>
  <si>
    <t>[8]</t>
  </si>
  <si>
    <t>x</t>
  </si>
  <si>
    <t>[]</t>
  </si>
  <si>
    <t>[11]</t>
  </si>
  <si>
    <t>a</t>
  </si>
  <si>
    <t>JIH</t>
  </si>
  <si>
    <t>r1</t>
  </si>
  <si>
    <t>[8,27,33]</t>
  </si>
  <si>
    <t>d</t>
  </si>
  <si>
    <t>b</t>
  </si>
  <si>
    <t>Very shaky arm</t>
  </si>
  <si>
    <t>[35]</t>
  </si>
  <si>
    <t>[1]</t>
  </si>
  <si>
    <t>[12.5]</t>
  </si>
  <si>
    <t>[3,2,9,7]</t>
  </si>
  <si>
    <t>e</t>
  </si>
  <si>
    <t>Baller</t>
  </si>
  <si>
    <t>ZB</t>
  </si>
  <si>
    <t>r3</t>
  </si>
  <si>
    <t>[47]</t>
  </si>
  <si>
    <t>Didnt contribute</t>
  </si>
  <si>
    <t>AMB</t>
  </si>
  <si>
    <t>b2</t>
  </si>
  <si>
    <t>[38]</t>
  </si>
  <si>
    <t>[27]</t>
  </si>
  <si>
    <t>IS</t>
  </si>
  <si>
    <t>[26]</t>
  </si>
  <si>
    <t>[50]</t>
  </si>
  <si>
    <t>[4]</t>
  </si>
  <si>
    <t>[6.3]</t>
  </si>
  <si>
    <t>[9,7,3,2]</t>
  </si>
  <si>
    <t>JAM</t>
  </si>
  <si>
    <t>[31]</t>
  </si>
  <si>
    <t>[59]</t>
  </si>
  <si>
    <t>Trouble picking up cube</t>
  </si>
  <si>
    <t>AMK</t>
  </si>
  <si>
    <t>b1</t>
  </si>
  <si>
    <t>None</t>
  </si>
  <si>
    <t xml:space="preserve">Robot stoped working after getting hit </t>
  </si>
  <si>
    <t>JP</t>
  </si>
  <si>
    <t>b3</t>
  </si>
  <si>
    <t>Bumper fell off and robot froze</t>
  </si>
  <si>
    <t>[5]</t>
  </si>
  <si>
    <t>[7.6,9.3]</t>
  </si>
  <si>
    <t>[8,14]</t>
  </si>
  <si>
    <t>Average but effective</t>
  </si>
  <si>
    <t>Kenny</t>
  </si>
  <si>
    <t>[63]</t>
  </si>
  <si>
    <t>[2]</t>
  </si>
  <si>
    <t>[11,1,3,4]</t>
  </si>
  <si>
    <t xml:space="preserve">dropped often </t>
  </si>
  <si>
    <t>[10]</t>
  </si>
  <si>
    <t>LRS</t>
  </si>
  <si>
    <t>[9.4,0.7,42.0,40.7,22.0]</t>
  </si>
  <si>
    <t>[11,1,3,4,29]</t>
  </si>
  <si>
    <t>Ljp</t>
  </si>
  <si>
    <t>[2,1,5]</t>
  </si>
  <si>
    <t>Very inconsistent scoring</t>
  </si>
  <si>
    <t>[20.8,20.1]</t>
  </si>
  <si>
    <t>[7,16]</t>
  </si>
  <si>
    <t>Everybody without floor intake</t>
  </si>
  <si>
    <t>[62]</t>
  </si>
  <si>
    <t>Barely moved, did nothing</t>
  </si>
  <si>
    <t>[9]</t>
  </si>
  <si>
    <t xml:space="preserve">Not good pickup of floor pieces </t>
  </si>
  <si>
    <t>KG</t>
  </si>
  <si>
    <t>[30,28,32,20]</t>
  </si>
  <si>
    <t>JDP</t>
  </si>
  <si>
    <t>[5.9]</t>
  </si>
  <si>
    <t>Died early</t>
  </si>
  <si>
    <t>[28,32,5,22,30,29]</t>
  </si>
  <si>
    <t xml:space="preserve">Reliably scored low with a good auto </t>
  </si>
  <si>
    <t>[8,20]</t>
  </si>
  <si>
    <t>Clamp innefective</t>
  </si>
  <si>
    <t>Bot died before match</t>
  </si>
  <si>
    <t>BW</t>
  </si>
  <si>
    <t>Dropped off cones for their alliance very efficien</t>
  </si>
  <si>
    <t>[34,14]</t>
  </si>
  <si>
    <t>Restarted, emphasizd cubes</t>
  </si>
  <si>
    <t>Not smooth movement</t>
  </si>
  <si>
    <t>[9.8,5.1,6.3,10.8,15.3]</t>
  </si>
  <si>
    <t>[1,2,3,4]</t>
  </si>
  <si>
    <t>Match restarted</t>
  </si>
  <si>
    <t>WC</t>
  </si>
  <si>
    <t>[32]</t>
  </si>
  <si>
    <t>[26.2,0.7,9.1,17.2,24.6,29.5]</t>
  </si>
  <si>
    <t>[-8,1,2,3,4,6]</t>
  </si>
  <si>
    <t>[11.3]</t>
  </si>
  <si>
    <t>[27,7]</t>
  </si>
  <si>
    <t>[35,14]</t>
  </si>
  <si>
    <t>LJP</t>
  </si>
  <si>
    <t>Amazing consistently I expect them to do well</t>
  </si>
  <si>
    <t>SGG</t>
  </si>
  <si>
    <t>[46.7,52.1,4.5]</t>
  </si>
  <si>
    <t>[9,7]</t>
  </si>
  <si>
    <t>CAH</t>
  </si>
  <si>
    <t>p</t>
  </si>
  <si>
    <t>I think a mechanism broke on the bot</t>
  </si>
  <si>
    <t>COJ</t>
  </si>
  <si>
    <t>[30.4]</t>
  </si>
  <si>
    <t>[17]</t>
  </si>
  <si>
    <t>[24.3,11.8,33.2,26.4]</t>
  </si>
  <si>
    <t>[4,10,6,9]</t>
  </si>
  <si>
    <t>Zmb</t>
  </si>
  <si>
    <t>[7.8]</t>
  </si>
  <si>
    <t>[14]</t>
  </si>
  <si>
    <t>Bad pickup</t>
  </si>
  <si>
    <t xml:space="preserve">Only scored by pushing pieces </t>
  </si>
  <si>
    <t>[9.5,1.5,11.5,6.8,1.4,19.3,24.3,5.9,17.6]</t>
  </si>
  <si>
    <t>[5,35,8,14,34,11]</t>
  </si>
  <si>
    <t>Went for cube</t>
  </si>
  <si>
    <t>DNO</t>
  </si>
  <si>
    <t>Robot stalled</t>
  </si>
  <si>
    <t>Mdm</t>
  </si>
  <si>
    <t>[37]</t>
  </si>
  <si>
    <t>[28,23,24]</t>
  </si>
  <si>
    <t>[16.1]</t>
  </si>
  <si>
    <t>[5,8,35]</t>
  </si>
  <si>
    <t>Only cubes in match but wears to be capable of con</t>
  </si>
  <si>
    <t>2022carv</t>
  </si>
  <si>
    <t>The robot would not start</t>
  </si>
  <si>
    <t>Claw motor stopped working after a hit with 4926</t>
  </si>
  <si>
    <t>EAR</t>
  </si>
  <si>
    <t>[57.0]</t>
  </si>
  <si>
    <t>Bad overall!!</t>
  </si>
  <si>
    <t>[23]</t>
  </si>
  <si>
    <t>[21.8,17.4]</t>
  </si>
  <si>
    <t>[7]</t>
  </si>
  <si>
    <t>Good game knowledge.</t>
  </si>
  <si>
    <t>[20]</t>
  </si>
  <si>
    <t>Didn't complete anything</t>
  </si>
  <si>
    <t>[7.7,26.1]</t>
  </si>
  <si>
    <t>Possible alliance? Undefined</t>
  </si>
  <si>
    <t>[22]</t>
  </si>
  <si>
    <t>Fell over, didnt move during auto</t>
  </si>
  <si>
    <t xml:space="preserve">LPM </t>
  </si>
  <si>
    <t>g</t>
  </si>
  <si>
    <t>Good at defense, placing not observed</t>
  </si>
  <si>
    <t>[20.2,4.2,33.2,7.6]</t>
  </si>
  <si>
    <t>[10,11,33]</t>
  </si>
  <si>
    <t>[6.7,1.5,10.7,11.7]</t>
  </si>
  <si>
    <t>u</t>
  </si>
  <si>
    <t>[12.9]</t>
  </si>
  <si>
    <t>[23,12,4]</t>
  </si>
  <si>
    <t>Fell over</t>
  </si>
  <si>
    <t>Very precise but doesn't take cubes</t>
  </si>
  <si>
    <t>RMK</t>
  </si>
  <si>
    <t>[34.2,39.1]</t>
  </si>
  <si>
    <t>[14,15,13,17]</t>
  </si>
  <si>
    <t>No Auton</t>
  </si>
  <si>
    <t>[107.7]</t>
  </si>
  <si>
    <t>Poor grip on cones and cubes</t>
  </si>
  <si>
    <t>[12.9,29.9,21.7,38.6]</t>
  </si>
  <si>
    <t>[9,7,15,8]</t>
  </si>
  <si>
    <t>Fast</t>
  </si>
  <si>
    <t>[64]</t>
  </si>
  <si>
    <t>[26.2,50.5,23.5]</t>
  </si>
  <si>
    <t>[17,25,35]</t>
  </si>
  <si>
    <t>RP</t>
  </si>
  <si>
    <t>[69]</t>
  </si>
  <si>
    <t>[16,18,17]</t>
  </si>
  <si>
    <t>[507.9,48.4]</t>
  </si>
  <si>
    <t>[1,11]</t>
  </si>
  <si>
    <t>[1,3,7]</t>
  </si>
  <si>
    <t>Similar design to us</t>
  </si>
  <si>
    <t>[6,4,3,5]</t>
  </si>
  <si>
    <t>ADO</t>
  </si>
  <si>
    <t>[1,4,11]</t>
  </si>
  <si>
    <t>Didnt do anything at auto</t>
  </si>
  <si>
    <t>[10.6,9.8,6.1,4.1,0.7]</t>
  </si>
  <si>
    <t>[5,8,14,16]</t>
  </si>
  <si>
    <t>v</t>
  </si>
  <si>
    <t>[25]</t>
  </si>
  <si>
    <t>[4.1,7.5,25.7,51.3]</t>
  </si>
  <si>
    <t>[6,7,3]</t>
  </si>
  <si>
    <t>Knocked over other robot</t>
  </si>
  <si>
    <t xml:space="preserve">Oof </t>
  </si>
  <si>
    <t>RLP</t>
  </si>
  <si>
    <t>[8,18,36,35]</t>
  </si>
  <si>
    <t>TJM</t>
  </si>
  <si>
    <t>[4.7,18.6]</t>
  </si>
  <si>
    <t>[6,7,8,3]</t>
  </si>
  <si>
    <t>[7.1,38.7]</t>
  </si>
  <si>
    <t>[5,14]</t>
  </si>
  <si>
    <t>LJA</t>
  </si>
  <si>
    <t>[8,18,17,36]</t>
  </si>
  <si>
    <t>Good at picking up and placing cubes</t>
  </si>
  <si>
    <t>[12]</t>
  </si>
  <si>
    <t>Did not show</t>
  </si>
  <si>
    <t>[14,29,30,28,31]</t>
  </si>
  <si>
    <t>Great at getting floor cubes</t>
  </si>
  <si>
    <t>Froze, barely moved, never scored</t>
  </si>
  <si>
    <t>[9,8,7,16]</t>
  </si>
  <si>
    <t>[2,1]</t>
  </si>
  <si>
    <t>Able to help stuck bot</t>
  </si>
  <si>
    <t>[4.7]</t>
  </si>
  <si>
    <t>Very zoomy but gets james often</t>
  </si>
  <si>
    <t>[28.2]</t>
  </si>
  <si>
    <t>[9,8,7,15]</t>
  </si>
  <si>
    <t>Good at taking cones from other side.</t>
  </si>
  <si>
    <t>ela</t>
  </si>
  <si>
    <t>[120.2]</t>
  </si>
  <si>
    <t>they ran into the walls, very slow</t>
  </si>
  <si>
    <t>[92.7]</t>
  </si>
  <si>
    <t>got knocked over by 3176</t>
  </si>
  <si>
    <t>wasn't there</t>
  </si>
  <si>
    <t>[3,20,21,6,5]</t>
  </si>
  <si>
    <t>Decent</t>
  </si>
  <si>
    <t>[6,4]</t>
  </si>
  <si>
    <t>Data does not include auton period</t>
  </si>
  <si>
    <t>[58]</t>
  </si>
  <si>
    <t>[8.4,28.5]</t>
  </si>
  <si>
    <t>[19,21]</t>
  </si>
  <si>
    <t>Meh</t>
  </si>
  <si>
    <t>Ado</t>
  </si>
  <si>
    <t>Didnt score much, struggled to pick up anything</t>
  </si>
  <si>
    <t>[24.9,33.3]</t>
  </si>
  <si>
    <t>[1,4,16]</t>
  </si>
  <si>
    <t>very effective in getting cones</t>
  </si>
  <si>
    <t>Cjn</t>
  </si>
  <si>
    <t>[27.1,11.0,26.7,3.9]</t>
  </si>
  <si>
    <t>[3,6,5]</t>
  </si>
  <si>
    <t>[70]</t>
  </si>
  <si>
    <t>[27,34]</t>
  </si>
  <si>
    <t>,7477</t>
  </si>
  <si>
    <t>[4.5]</t>
  </si>
  <si>
    <t>2022inmish</t>
  </si>
  <si>
    <t>ZD</t>
  </si>
  <si>
    <t>[18]</t>
  </si>
  <si>
    <t>Did nothing of note</t>
  </si>
  <si>
    <t>CRU</t>
  </si>
  <si>
    <t>Stopped twice, did nothing</t>
  </si>
  <si>
    <t>CJN</t>
  </si>
  <si>
    <t>[14.1]</t>
  </si>
  <si>
    <t>[14.6,15.0,13.2]</t>
  </si>
  <si>
    <t>[1,3,4]</t>
  </si>
  <si>
    <t>[13.3,18.3]</t>
  </si>
  <si>
    <t>[1,3,4,21]</t>
  </si>
  <si>
    <t>Dropped one cone</t>
  </si>
  <si>
    <t>Seemed to shut down mid March</t>
  </si>
  <si>
    <t>C.M.C</t>
  </si>
  <si>
    <t>[7.0]</t>
  </si>
  <si>
    <t xml:space="preserve">Didnt really do much tbh </t>
  </si>
  <si>
    <t>WS</t>
  </si>
  <si>
    <t>JLD</t>
  </si>
  <si>
    <t>KSG</t>
  </si>
  <si>
    <t>[10,3,4]</t>
  </si>
  <si>
    <t>Very fast, scored often</t>
  </si>
  <si>
    <t>[28,21]</t>
  </si>
  <si>
    <t>Not impressive</t>
  </si>
  <si>
    <t>[13.0,11.1]</t>
  </si>
  <si>
    <t>[3,4,28]</t>
  </si>
  <si>
    <t>[6.5,3.3]</t>
  </si>
  <si>
    <t>[14,13]</t>
  </si>
  <si>
    <t>[15.7]</t>
  </si>
  <si>
    <t>[15]</t>
  </si>
  <si>
    <t>Decent at picking up but missed a few grid cones</t>
  </si>
  <si>
    <t>CWS</t>
  </si>
  <si>
    <t>[12.0,13.9]</t>
  </si>
  <si>
    <t>[9,5]</t>
  </si>
  <si>
    <t>Arm got caught in the drop off station</t>
  </si>
  <si>
    <t>[3]</t>
  </si>
  <si>
    <t>[39.2,56.9]</t>
  </si>
  <si>
    <t>[32,8,30]</t>
  </si>
  <si>
    <t>[26,24]</t>
  </si>
  <si>
    <t xml:space="preserve">Very slow and unprecise </t>
  </si>
  <si>
    <t>[1,3]</t>
  </si>
  <si>
    <t>Browned out</t>
  </si>
  <si>
    <t>[22.9]</t>
  </si>
  <si>
    <t xml:space="preserve">JLD </t>
  </si>
  <si>
    <t>[17.8,10.8,43.6]</t>
  </si>
  <si>
    <t>Not good at picking up game pieces</t>
  </si>
  <si>
    <t>Died at the start of match 12</t>
  </si>
  <si>
    <t>[4.3]</t>
  </si>
  <si>
    <t>Died seconds into teleop</t>
  </si>
  <si>
    <t>Very slow, never scored</t>
  </si>
  <si>
    <t>Gripper broke</t>
  </si>
  <si>
    <t>Did not move after auto</t>
  </si>
  <si>
    <t>[57.7,28.9]</t>
  </si>
  <si>
    <t>[17,35,34]</t>
  </si>
  <si>
    <t>Seemed not to work</t>
  </si>
  <si>
    <t>[17,35]</t>
  </si>
  <si>
    <t>BAD</t>
  </si>
  <si>
    <t>[7.7]</t>
  </si>
  <si>
    <t>Slow, failed to pick up game pieces</t>
  </si>
  <si>
    <t>[12,10,13]</t>
  </si>
  <si>
    <t>[17.9,9.9]</t>
  </si>
  <si>
    <t>[17,18]</t>
  </si>
  <si>
    <t>Pretty nice arm+intake</t>
  </si>
  <si>
    <t>St cr</t>
  </si>
  <si>
    <t>[45.6,43.8]</t>
  </si>
  <si>
    <t>[4,7]</t>
  </si>
  <si>
    <t>[29,5]</t>
  </si>
  <si>
    <t xml:space="preserve">Very fast, good scoring </t>
  </si>
  <si>
    <t>[2.2,0.5,3.0]</t>
  </si>
  <si>
    <t>Play defence only, but wasn't very good at defence</t>
  </si>
  <si>
    <t>[13.9,20.4]</t>
  </si>
  <si>
    <t xml:space="preserve">Gripper issues </t>
  </si>
  <si>
    <t>[21.7,10.4,16.2,5.6]</t>
  </si>
  <si>
    <t>It fell at the end off the charge station</t>
  </si>
  <si>
    <t>[2.6,14.0,3.2]</t>
  </si>
  <si>
    <t>[12.8,25.0,0.7,29.5,23.7]</t>
  </si>
  <si>
    <t>[8,17,14,11]</t>
  </si>
  <si>
    <t>Only went for cubes but can pi</t>
  </si>
  <si>
    <t>[67.5]</t>
  </si>
  <si>
    <t>[27.6,11.9,8.8]</t>
  </si>
  <si>
    <t>[4,3,7]</t>
  </si>
  <si>
    <t>Very good teammate Id recommend</t>
  </si>
  <si>
    <t>ISS</t>
  </si>
  <si>
    <t>[11.8,3.6]</t>
  </si>
  <si>
    <t>[35,17,14,11]</t>
  </si>
  <si>
    <t>[55.7,15.5,11.9]</t>
  </si>
  <si>
    <t>[6,5,18]</t>
  </si>
  <si>
    <t>[5.5,2.9]</t>
  </si>
  <si>
    <t>[2,5]</t>
  </si>
  <si>
    <t>No comment</t>
  </si>
  <si>
    <t>[89.3,8.6]</t>
  </si>
  <si>
    <t>Couldn't keep ahold of game price very slow</t>
  </si>
  <si>
    <t>[9.0,31.2,23.6,33.1,1.1,24.2]</t>
  </si>
  <si>
    <t>[9,7,4,42,33,34]</t>
  </si>
  <si>
    <t>Goated</t>
  </si>
  <si>
    <t>[9.1,7.1,14.0]</t>
  </si>
  <si>
    <t>[6,5]</t>
  </si>
  <si>
    <t>Wasnt very active</t>
  </si>
  <si>
    <t>[7.8,18.0,15.9,20.3,27.2,30.9]</t>
  </si>
  <si>
    <t>[2,3,10,13,11,30]</t>
  </si>
  <si>
    <t>Very good</t>
  </si>
  <si>
    <t>[77.8]</t>
  </si>
  <si>
    <t>Stopped multiple times</t>
  </si>
  <si>
    <t>[16.8,46.6]</t>
  </si>
  <si>
    <t>[12.2,10.0]</t>
  </si>
  <si>
    <t>[8,5]</t>
  </si>
  <si>
    <t>[5.4]</t>
  </si>
  <si>
    <t>[8,17]</t>
  </si>
  <si>
    <t xml:space="preserve">gripper stopped opening </t>
  </si>
  <si>
    <t>[22.0]</t>
  </si>
  <si>
    <t>[9,7,3,34]</t>
  </si>
  <si>
    <t>Never moved</t>
  </si>
  <si>
    <t>Too focused on cones and unreliable</t>
  </si>
  <si>
    <t>[28,31,29]</t>
  </si>
  <si>
    <t>Only bottom</t>
  </si>
  <si>
    <t>[1,3,11,14]</t>
  </si>
  <si>
    <t>Outstanding performance</t>
  </si>
  <si>
    <t>Full support of team</t>
  </si>
  <si>
    <t>[13.6,34.1,48.3,21.4]</t>
  </si>
  <si>
    <t>[7,6,8,14]</t>
  </si>
  <si>
    <t>Very fast and accurate</t>
  </si>
  <si>
    <t>[26.9,21.4,30.1,38.2]</t>
  </si>
  <si>
    <t>[24,6,4,9]</t>
  </si>
  <si>
    <t>Top heavy</t>
  </si>
  <si>
    <t>[33.9,38.8]</t>
  </si>
  <si>
    <t>[27,21]</t>
  </si>
  <si>
    <t>Kept missing come pegs</t>
  </si>
  <si>
    <t>[13.6,39.1,48.7]</t>
  </si>
  <si>
    <t>[35,34,36]</t>
  </si>
  <si>
    <t>[28.1,32.2]</t>
  </si>
  <si>
    <t>[5,2]</t>
  </si>
  <si>
    <t>Average</t>
  </si>
  <si>
    <t>[30.6,30.8,40.4]</t>
  </si>
  <si>
    <t>[1,12,2]</t>
  </si>
  <si>
    <t>Efficient but slow</t>
  </si>
  <si>
    <t>[20.6,26.1]</t>
  </si>
  <si>
    <t>[2,11]</t>
  </si>
  <si>
    <t>[29]</t>
  </si>
  <si>
    <t>[9.6,38.2]</t>
  </si>
  <si>
    <t>[28,11]</t>
  </si>
  <si>
    <t>Unreliable</t>
  </si>
  <si>
    <t>Dm</t>
  </si>
  <si>
    <t>[57]</t>
  </si>
  <si>
    <t>[5,33,29,28]</t>
  </si>
  <si>
    <t>Did not move for entire match</t>
  </si>
  <si>
    <t>Very shaky when driving</t>
  </si>
  <si>
    <t>[3,25,20,19,21]</t>
  </si>
  <si>
    <t>Continually drops cones when placing</t>
  </si>
  <si>
    <t>[14,11]</t>
  </si>
  <si>
    <t>Had a hard time manipulating pieces</t>
  </si>
  <si>
    <t>[1,11,3,14,5,9]</t>
  </si>
  <si>
    <t>MDMP</t>
  </si>
  <si>
    <t>[25,4]</t>
  </si>
  <si>
    <t>Was disconnected for a portion of the match</t>
  </si>
  <si>
    <t>[17,5,34]</t>
  </si>
  <si>
    <t>[33,34,11]</t>
  </si>
  <si>
    <t>[6]</t>
  </si>
  <si>
    <t>CRUm</t>
  </si>
  <si>
    <t>[10.4,20.0]</t>
  </si>
  <si>
    <t>[2,35,34]</t>
  </si>
  <si>
    <t>Didn't do much, pushed cones to hybrid zone</t>
  </si>
  <si>
    <t>[29.7]</t>
  </si>
  <si>
    <t xml:space="preserve">Could not pick up many cones. Resorted to pushing </t>
  </si>
  <si>
    <t>ETH</t>
  </si>
  <si>
    <t>[53.9,41.6,1.6,1.5,3.4]</t>
  </si>
  <si>
    <t>CrU</t>
  </si>
  <si>
    <t>[28]</t>
  </si>
  <si>
    <t>[1,20,22,3,23]</t>
  </si>
  <si>
    <t>[12.6]</t>
  </si>
  <si>
    <t>[1,21,22,23]</t>
  </si>
  <si>
    <t>Too slow at picking up game peices</t>
  </si>
  <si>
    <t>Slow to pick up\put down  died picking up</t>
  </si>
  <si>
    <t>[8.4,0.8]</t>
  </si>
  <si>
    <t>[1,2,28]</t>
  </si>
  <si>
    <t>Alliance member 2867 flipped</t>
  </si>
  <si>
    <t>[18,25,35]</t>
  </si>
  <si>
    <t>[38.7,4.8]</t>
  </si>
  <si>
    <t>Very good at docking, was messed up by another</t>
  </si>
  <si>
    <t>[17.4,20.6]</t>
  </si>
  <si>
    <t>[3,4,22,2,6]</t>
  </si>
  <si>
    <t>[15.3,17.7,19.0]</t>
  </si>
  <si>
    <t>[26,25,32]</t>
  </si>
  <si>
    <t>Tipped over at end</t>
  </si>
  <si>
    <t>[15.8,11.4]</t>
  </si>
  <si>
    <t>[8,2,17,18]</t>
  </si>
  <si>
    <t xml:space="preserve">Could do good it we went cone and they went </t>
  </si>
  <si>
    <t>[26.3]</t>
  </si>
  <si>
    <t>[26,25]</t>
  </si>
  <si>
    <t>[30,11,14]</t>
  </si>
  <si>
    <t>Can't reach top tank or cones</t>
  </si>
  <si>
    <t>[14.9]</t>
  </si>
  <si>
    <t>[26,36,25,24,23,22]</t>
  </si>
  <si>
    <t>Scb</t>
  </si>
  <si>
    <t>[0,1,4,2]</t>
  </si>
  <si>
    <t xml:space="preserve">Died for most of the match couldn't really record </t>
  </si>
  <si>
    <t>[13.5,0.6,0.9]</t>
  </si>
  <si>
    <t>[36,26,25,24,23,22]</t>
  </si>
  <si>
    <t>Very quick getting things In the b</t>
  </si>
  <si>
    <t>[13.0,25.2,2.1,29.1]</t>
  </si>
  <si>
    <t>[8,14,23]</t>
  </si>
  <si>
    <t>n</t>
  </si>
  <si>
    <t>[6,9,5,7]</t>
  </si>
  <si>
    <t>[23,20,22,19]</t>
  </si>
  <si>
    <t>Handles lower level well but not the higher ones</t>
  </si>
  <si>
    <t>Good defense</t>
  </si>
  <si>
    <t>[14.8,5.1,34.7]</t>
  </si>
  <si>
    <t xml:space="preserve">The second cycle time should be around 30 </t>
  </si>
  <si>
    <t>[13.4]</t>
  </si>
  <si>
    <t>[19,20,21,27]</t>
  </si>
  <si>
    <t>[8.9,42.3,28.5,7.9]</t>
  </si>
  <si>
    <t>[5,2,31]</t>
  </si>
  <si>
    <t>Mdmdm</t>
  </si>
  <si>
    <t>[49]</t>
  </si>
  <si>
    <t>[29,22,25]</t>
  </si>
  <si>
    <t>[2,8]</t>
  </si>
  <si>
    <t>[4.8,9.7,6.6,12.6,15.2,0.3]</t>
  </si>
  <si>
    <t>[4,12,6,5]</t>
  </si>
  <si>
    <t>Good performance, little erro</t>
  </si>
  <si>
    <t>[34]</t>
  </si>
  <si>
    <t>[25.7,58.2,25.7]</t>
  </si>
  <si>
    <t>[3,4,7]</t>
  </si>
  <si>
    <t>[5,2,8]</t>
  </si>
  <si>
    <t>[16.8,18.6]</t>
  </si>
  <si>
    <t>[6,26,7,9]</t>
  </si>
  <si>
    <t>[56.9,45.1]</t>
  </si>
  <si>
    <t>[8,9]</t>
  </si>
  <si>
    <t>Dropped cone on cube shelf</t>
  </si>
  <si>
    <t>[103.3]</t>
  </si>
  <si>
    <t>Very poor driving and handling</t>
  </si>
  <si>
    <t>[16.2,21.1,35.0]</t>
  </si>
  <si>
    <t>[9,34,7]</t>
  </si>
  <si>
    <t>[36]</t>
  </si>
  <si>
    <t>[15.4]</t>
  </si>
  <si>
    <t>[26,25,24]</t>
  </si>
  <si>
    <t>[3.8,16.8]</t>
  </si>
  <si>
    <t>[12,11]</t>
  </si>
  <si>
    <t>Good defender</t>
  </si>
  <si>
    <t>[20.5]</t>
  </si>
  <si>
    <t>Arm broke 15sec in</t>
  </si>
  <si>
    <t>[4.1,23.1]</t>
  </si>
  <si>
    <t>[3,4]</t>
  </si>
  <si>
    <t>Nah</t>
  </si>
  <si>
    <t xml:space="preserve">Not recommend </t>
  </si>
  <si>
    <t>[32,35,33,27]</t>
  </si>
  <si>
    <t>Only hits bottom row</t>
  </si>
  <si>
    <t>[20,42,33,27,26,21,23]</t>
  </si>
  <si>
    <t>o</t>
  </si>
  <si>
    <t>Fell over and failed to place 3 cones</t>
  </si>
  <si>
    <t>[20,14,12]</t>
  </si>
  <si>
    <t>[21]</t>
  </si>
  <si>
    <t>[42.4,38.1]</t>
  </si>
  <si>
    <t>[11,12,4]</t>
  </si>
  <si>
    <t>[10.9,70.9]</t>
  </si>
  <si>
    <t>[7,4,9]</t>
  </si>
  <si>
    <t>[12.9,11.2,28.7]</t>
  </si>
  <si>
    <t>[17,8,32]</t>
  </si>
  <si>
    <t>Good partner if you want a good defence</t>
  </si>
  <si>
    <t>Didn't get all data</t>
  </si>
  <si>
    <t>[0.3,37.9,7.5,5.1,19.1]</t>
  </si>
  <si>
    <t>[0,1,3,4,7]</t>
  </si>
  <si>
    <t>[29.6]</t>
  </si>
  <si>
    <t>[30.2,56.6]</t>
  </si>
  <si>
    <t>[1,2,5]</t>
  </si>
  <si>
    <t>[34,30,6]</t>
  </si>
  <si>
    <t>[47.3]</t>
  </si>
  <si>
    <t>[65.9]</t>
  </si>
  <si>
    <t>[19]</t>
  </si>
  <si>
    <t>Shaky claw</t>
  </si>
  <si>
    <t>[8.9,48.8]</t>
  </si>
  <si>
    <t>Knowledgeable</t>
  </si>
  <si>
    <t>WDS</t>
  </si>
  <si>
    <t>This data is inaccurate because I spaced out</t>
  </si>
  <si>
    <t>[5.8,8.1,11.1,16.0,5.4,14.4]</t>
  </si>
  <si>
    <t>[17,9,7,4,6]</t>
  </si>
  <si>
    <t>[9.3]</t>
  </si>
  <si>
    <t>[17.7,20.1,42.1,3.7]</t>
  </si>
  <si>
    <t>[6,7,15]</t>
  </si>
  <si>
    <t>Only cones</t>
  </si>
  <si>
    <t>Paused for ~30 seconds after auton</t>
  </si>
  <si>
    <t>[20.7,60.7,26.3]</t>
  </si>
  <si>
    <t>[4,23,6]</t>
  </si>
  <si>
    <t>[12.2]</t>
  </si>
  <si>
    <t>[7,5]</t>
  </si>
  <si>
    <t>Couldn't get autons in time</t>
  </si>
  <si>
    <t>[11.3,54.9,22.6,13.6]</t>
  </si>
  <si>
    <t>[1,3,29,31]</t>
  </si>
  <si>
    <t>Awesome</t>
  </si>
  <si>
    <t>[34.7,0.9,43.4,38.5]</t>
  </si>
  <si>
    <t>[6,4,7]</t>
  </si>
  <si>
    <t>[23.5,35.7,1.1]</t>
  </si>
  <si>
    <t>[2,17]</t>
  </si>
  <si>
    <t>Solid intake</t>
  </si>
  <si>
    <t>[61]</t>
  </si>
  <si>
    <t>[11,14,2]</t>
  </si>
  <si>
    <t>Looks like they were having problems</t>
  </si>
  <si>
    <t>[18.1]</t>
  </si>
  <si>
    <t>Solid defense</t>
  </si>
  <si>
    <t>[19,21,22,25]</t>
  </si>
  <si>
    <t>Agressive</t>
  </si>
  <si>
    <t>[5,9,8]</t>
  </si>
  <si>
    <t>[9,17,7]</t>
  </si>
  <si>
    <t>Takes cones and cubes</t>
  </si>
  <si>
    <t>[21.4,16.0,19.6]</t>
  </si>
  <si>
    <t>[6,4,25]</t>
  </si>
  <si>
    <t>Fell at the end</t>
  </si>
  <si>
    <t>[17.5,33.5]</t>
  </si>
  <si>
    <t>[9,3]</t>
  </si>
  <si>
    <t>Operation stopped on last cycle</t>
  </si>
  <si>
    <t>[12,14]</t>
  </si>
  <si>
    <t>[17,31,14,18,16]</t>
  </si>
  <si>
    <t>[9,4]</t>
  </si>
  <si>
    <t>I forgot time stuffs</t>
  </si>
  <si>
    <t>[7.1,64.9]</t>
  </si>
  <si>
    <t>Claw broke in half around 1:20</t>
  </si>
  <si>
    <t>[3,5,1]</t>
  </si>
  <si>
    <t>Top row cones and cubes</t>
  </si>
  <si>
    <t>[10.7,6.7,1.7,8.3]</t>
  </si>
  <si>
    <t>[34,19,23]</t>
  </si>
  <si>
    <t>Bot did not move whole round</t>
  </si>
  <si>
    <t>[19.8,20.2,9.0]</t>
  </si>
  <si>
    <t>[4,3,6]</t>
  </si>
  <si>
    <t>Did efficient</t>
  </si>
  <si>
    <t>[13.1,18.3,12.5]</t>
  </si>
  <si>
    <t>[7,1,15]</t>
  </si>
  <si>
    <t>Very good bot, best bot to ally with</t>
  </si>
  <si>
    <t>[32.1]</t>
  </si>
  <si>
    <t>[6,9,14]</t>
  </si>
  <si>
    <t xml:space="preserve">Couldn't see whether or not they had swerve but I </t>
  </si>
  <si>
    <t>[19.8]</t>
  </si>
  <si>
    <t>Made it half way through and died</t>
  </si>
  <si>
    <t>[37,36]</t>
  </si>
  <si>
    <t>[7.3,9.1,26.3,5.0]</t>
  </si>
  <si>
    <t>[29,3,2,30]</t>
  </si>
  <si>
    <t>One of the best bots.</t>
  </si>
  <si>
    <t>Did nothing</t>
  </si>
  <si>
    <t>[31.7]</t>
  </si>
  <si>
    <t>[24]</t>
  </si>
  <si>
    <t>Died half way through</t>
  </si>
  <si>
    <t>They didn't score :(</t>
  </si>
  <si>
    <t>[20.4]</t>
  </si>
  <si>
    <t>[26,25,23,22,30]</t>
  </si>
  <si>
    <t>[11.1,12.0,14.2]</t>
  </si>
  <si>
    <t>[6,4,3]</t>
  </si>
  <si>
    <t>Average performance</t>
  </si>
  <si>
    <t>[5.7,4.9,3.1,4.7,6.5,14.5]</t>
  </si>
  <si>
    <t>[24,23,22]</t>
  </si>
  <si>
    <t>[7.5,29.2,15.8,24.7]</t>
  </si>
  <si>
    <t>[4,6,7,9,3]</t>
  </si>
  <si>
    <t>[5.6,7.2,6.2,16.7,1.2]</t>
  </si>
  <si>
    <t>[8,5,14,11]</t>
  </si>
  <si>
    <t>Scored well</t>
  </si>
  <si>
    <t>[22.6,5.4,15.2,25.3,30.6,7.3]</t>
  </si>
  <si>
    <t>[19,21,22,20,24,25]</t>
  </si>
  <si>
    <t>Knowledgeable a</t>
  </si>
  <si>
    <t>[6,7]</t>
  </si>
  <si>
    <t>[28,21,29]</t>
  </si>
  <si>
    <t>[1,3,11,10]</t>
  </si>
  <si>
    <t>[4,39,7]</t>
  </si>
  <si>
    <t>[17,4,35]</t>
  </si>
  <si>
    <t>[36,34]</t>
  </si>
  <si>
    <t>[26,36,25,23]</t>
  </si>
  <si>
    <t>Gear is skipping</t>
  </si>
  <si>
    <t>Their auton didn't work correctly</t>
  </si>
  <si>
    <t>[7,33,8,6,5]</t>
  </si>
  <si>
    <t>[33,17,8,28,34,35]</t>
  </si>
  <si>
    <t>Fast cycle but can only grab floor cubes</t>
  </si>
  <si>
    <t>[25,35]</t>
  </si>
  <si>
    <t>Failed to use arm at all during match</t>
  </si>
  <si>
    <t>[0,1,3,5]</t>
  </si>
  <si>
    <t xml:space="preserve">Another everybot but very skilled drive team with </t>
  </si>
  <si>
    <t>[6,4,8]</t>
  </si>
  <si>
    <t>OMG CYBER TOOTH IS SO GOOD</t>
  </si>
  <si>
    <t>[26,3,1,22]</t>
  </si>
  <si>
    <t>[9,1,3,4]</t>
  </si>
  <si>
    <t xml:space="preserve">Awesome auton!! </t>
  </si>
  <si>
    <t>They were engaged but another robot tilted it</t>
  </si>
  <si>
    <t>[4,25,23]</t>
  </si>
  <si>
    <t>Very fast with cones and cubes</t>
  </si>
  <si>
    <t>[5,8,3,19,6]</t>
  </si>
  <si>
    <t>Tippy but did not fall</t>
  </si>
  <si>
    <t>[5,2,28]</t>
  </si>
  <si>
    <t>Arm gets caught, not that good at grabbing from fl</t>
  </si>
  <si>
    <t>[2,11,14,17,21]</t>
  </si>
  <si>
    <t>180 degree vertical arm ripped but barely saved it</t>
  </si>
  <si>
    <t>[5,6,9,8]</t>
  </si>
  <si>
    <t xml:space="preserve">Prefers drop load starts with a top row cone then </t>
  </si>
  <si>
    <t>Likes cones</t>
  </si>
  <si>
    <t>[2,11,10,12]</t>
  </si>
  <si>
    <t>Almost tips every time they stop but they never fa</t>
  </si>
  <si>
    <t>[21,19,3]</t>
  </si>
  <si>
    <t>Good bot just not consistent arm operation</t>
  </si>
  <si>
    <t>SCB</t>
  </si>
  <si>
    <t>[6,7,4,20,27]</t>
  </si>
  <si>
    <t>Can quickly put cones</t>
  </si>
  <si>
    <t>[36,31]</t>
  </si>
  <si>
    <t>Unfortunate intake</t>
  </si>
  <si>
    <t>Claw broke from normal use</t>
  </si>
  <si>
    <t>[24,25]</t>
  </si>
  <si>
    <t xml:space="preserve">Did worse today then yesterday driver is probably </t>
  </si>
  <si>
    <t>[19,20,21,22]</t>
  </si>
  <si>
    <t>Docked but got knocked over. Pushed cones often</t>
  </si>
  <si>
    <t>Does not score only does well at defence</t>
  </si>
  <si>
    <t>[2,31,19]</t>
  </si>
  <si>
    <t>It's arm was not working</t>
  </si>
  <si>
    <t>[25.7,1.7,29.2]</t>
  </si>
  <si>
    <t>[24,23]</t>
  </si>
  <si>
    <t>Did an average job</t>
  </si>
  <si>
    <t>[3,2,7,4]</t>
  </si>
  <si>
    <t>We slayed</t>
  </si>
  <si>
    <t>[8,5,31,6]</t>
  </si>
  <si>
    <t>Can hit top rows with ease</t>
  </si>
  <si>
    <t>[30,36,32]</t>
  </si>
  <si>
    <t>Knocked over by alliance partner</t>
  </si>
  <si>
    <t>Wobbly, feeds other bots pieces</t>
  </si>
  <si>
    <t>[27,21,26]</t>
  </si>
  <si>
    <t>Did not use their claw and got in the way of team</t>
  </si>
  <si>
    <t>Didn't use claw, blocked other robots very well</t>
  </si>
  <si>
    <t>[83]</t>
  </si>
  <si>
    <t>died quickly in the match</t>
  </si>
  <si>
    <t>[23,26,25]</t>
  </si>
  <si>
    <t>Tipped dangerously multiple times but was fine</t>
  </si>
  <si>
    <t>[23,25,26]</t>
  </si>
  <si>
    <t xml:space="preserve">Extremely fast and can easily engage but can only </t>
  </si>
  <si>
    <t>[3,1,24]</t>
  </si>
  <si>
    <t>Hybrid cone was one that they accidentally dropped</t>
  </si>
  <si>
    <t>[2,5,30,28,8,29]</t>
  </si>
  <si>
    <t>Didn't fall counterproductive auton</t>
  </si>
  <si>
    <t>Died but reserected mid game</t>
  </si>
  <si>
    <t>[15.4,13.3]</t>
  </si>
  <si>
    <t>[36,35]</t>
  </si>
  <si>
    <t>Pushed around easily, but transfers items qu</t>
  </si>
  <si>
    <t>[34,35,27]</t>
  </si>
  <si>
    <t>not consistent with scoring</t>
  </si>
  <si>
    <t>[32,29,28]</t>
  </si>
  <si>
    <t>Only went for bottom nodes, not bad but not effici</t>
  </si>
  <si>
    <t>[30]</t>
  </si>
  <si>
    <t>Blocked 2905 and stopped it from picking up pieces</t>
  </si>
  <si>
    <t>I think something broke the bot. Arm not work</t>
  </si>
  <si>
    <t>[1,3,10]</t>
  </si>
  <si>
    <t>[7,9,1]</t>
  </si>
  <si>
    <t>slow cycle times</t>
  </si>
  <si>
    <t>[20,24]</t>
  </si>
  <si>
    <t>Effective at pushing game pieces</t>
  </si>
  <si>
    <t>Didn't tip. Wobbly. Average</t>
  </si>
  <si>
    <t>[4,6,5,2,33]</t>
  </si>
  <si>
    <t>Easily hit top row</t>
  </si>
  <si>
    <t>[6,5,9,7,8]</t>
  </si>
  <si>
    <t>It's Cybertooth, need I say more?</t>
  </si>
  <si>
    <t>[9,21,4,5,3]</t>
  </si>
  <si>
    <t>can go high or low</t>
  </si>
  <si>
    <t>Not tall enough to reach high level</t>
  </si>
  <si>
    <t>Efficient + knowledgeable. Good at docking</t>
  </si>
  <si>
    <t>Similar design to us but no bottom part for ground</t>
  </si>
  <si>
    <t>[2,24,14,5,23]</t>
  </si>
  <si>
    <t>Slight rocking</t>
  </si>
  <si>
    <t>Slow claw, prone to being pushed off course by bot</t>
  </si>
  <si>
    <t>[3,1,2,5,17]</t>
  </si>
  <si>
    <t>very fast, and can quickly stabilize</t>
  </si>
  <si>
    <t>[14,35,17]</t>
  </si>
  <si>
    <t>Not a very good arm, can only score cubes by shoot</t>
  </si>
  <si>
    <t>Good drive team com/problem solving</t>
  </si>
  <si>
    <t>Bot was slow and arm died at beginning of match</t>
  </si>
  <si>
    <t>[10,12]</t>
  </si>
  <si>
    <t>Got in the way a lot. Slow. Bad driver</t>
  </si>
  <si>
    <t>[24,22,4]</t>
  </si>
  <si>
    <t>Had trouble placing too row</t>
  </si>
  <si>
    <t>very slow, didn't score barely at all</t>
  </si>
  <si>
    <t>Overcorrections, wobbly</t>
  </si>
  <si>
    <t>[5,4,3,6]</t>
  </si>
  <si>
    <t>Constantly hit the top row</t>
  </si>
  <si>
    <t>[32,31,33]</t>
  </si>
  <si>
    <t>Had good ground pick up on cubes</t>
  </si>
  <si>
    <t>[8,2,30,20]</t>
  </si>
  <si>
    <t xml:space="preserve">Has tipped over several times before and is a bad </t>
  </si>
  <si>
    <t>Struggles with grabbing pieces set out by human</t>
  </si>
  <si>
    <t>Good D, not designed to score</t>
  </si>
  <si>
    <t>[8,13,15,14]</t>
  </si>
  <si>
    <t>Tippy on hard stops</t>
  </si>
  <si>
    <t>[4,1,3]</t>
  </si>
  <si>
    <t>Knowledgeable + efficient</t>
  </si>
  <si>
    <t>[19,27,25]</t>
  </si>
  <si>
    <t>Pushed cones arm wasn't working</t>
  </si>
  <si>
    <t>[1,3,6]</t>
  </si>
  <si>
    <t>Absolutely outstanding drivers fast scores</t>
  </si>
  <si>
    <t>[33,5,8,35]</t>
  </si>
  <si>
    <t xml:space="preserve">Did well with cube disposal, was able to make top </t>
  </si>
  <si>
    <t>[3,1,27]</t>
  </si>
  <si>
    <t>Good with cones only. No defense</t>
  </si>
  <si>
    <t>Can't pick up anything</t>
  </si>
  <si>
    <t>They tipped and their chain broke to their intake</t>
  </si>
  <si>
    <t xml:space="preserve">Pushed a cube, then blocked teamates for the rest </t>
  </si>
  <si>
    <t>[18,25,16]</t>
  </si>
  <si>
    <t>Dropped multiple cones :(</t>
  </si>
  <si>
    <t>[10,0]</t>
  </si>
  <si>
    <t>Not great</t>
  </si>
  <si>
    <t>EXTREME defense</t>
  </si>
  <si>
    <t>[26,25,24,23]</t>
  </si>
  <si>
    <t>Speed. Good at filling bottom</t>
  </si>
  <si>
    <t>[15,4,3]</t>
  </si>
  <si>
    <t>We did really well for getting defendid by 868</t>
  </si>
  <si>
    <t>[25,24,23,22]</t>
  </si>
  <si>
    <t>Only pushed cones no top row</t>
  </si>
  <si>
    <t>[6,7,8]</t>
  </si>
  <si>
    <t>[6,-2,4]</t>
  </si>
  <si>
    <t>It's decent at all</t>
  </si>
  <si>
    <t>Cube stuck in bot</t>
  </si>
  <si>
    <t>Tipped over when crossing charging station</t>
  </si>
  <si>
    <t>[4,3,22,19,14,2]</t>
  </si>
  <si>
    <t>Low cycle times</t>
  </si>
  <si>
    <t>[7,8,5]</t>
  </si>
  <si>
    <t>Can quickly grab cones and cubes</t>
  </si>
  <si>
    <t>[5,31]</t>
  </si>
  <si>
    <t>Average all around + no defense</t>
  </si>
  <si>
    <t>[4,3,21,19,14,2]</t>
  </si>
  <si>
    <t>Effective and fast</t>
  </si>
  <si>
    <t>tsg</t>
  </si>
  <si>
    <t>[36.3]</t>
  </si>
  <si>
    <t>Did not move in auto</t>
  </si>
  <si>
    <t>[13.3,48.7,34.0]</t>
  </si>
  <si>
    <t>[11,17,4]</t>
  </si>
  <si>
    <t>Didn't score</t>
  </si>
  <si>
    <t>Did not move much</t>
  </si>
  <si>
    <t>[3.9,27.0,8.1]</t>
  </si>
  <si>
    <t>[34,35,33,36]</t>
  </si>
  <si>
    <t>No commont</t>
  </si>
  <si>
    <t>[11.3,7.4,9.9]</t>
  </si>
  <si>
    <t>[3,6,9]</t>
  </si>
  <si>
    <t>[8,2,17]</t>
  </si>
  <si>
    <t>Very effective bot</t>
  </si>
  <si>
    <t>All around ineffective bot</t>
  </si>
  <si>
    <t>Dead for most of bot</t>
  </si>
  <si>
    <t>[3,2,29,30]</t>
  </si>
  <si>
    <t>[14,5,11,2]</t>
  </si>
  <si>
    <t>[39]</t>
  </si>
  <si>
    <t>[3,2,4]</t>
  </si>
  <si>
    <t>[5,8,17]</t>
  </si>
  <si>
    <t>Missing Matches</t>
  </si>
  <si>
    <t>Red 1</t>
  </si>
  <si>
    <t>Red 2</t>
  </si>
  <si>
    <t>Red 3</t>
  </si>
  <si>
    <t>Blue 1</t>
  </si>
  <si>
    <t>Blue 3</t>
  </si>
  <si>
    <t>Blue 2</t>
  </si>
  <si>
    <t>% Missed</t>
  </si>
  <si>
    <t>10, 12, 16, 21, 22, 26, 27, 28, 31, 34, 36, 40, 48, 49, 50, 51, 52, 53</t>
  </si>
  <si>
    <t>9, 16, 26, 27, 37, 38, 39</t>
  </si>
  <si>
    <t>26, 27, 28, 29, 30, 39, 50, 27, 58, 59, 60, 62</t>
  </si>
  <si>
    <t>16, 17, 18, 19, 20, 21, 26, 27, 28, 43, 44, 45</t>
  </si>
  <si>
    <t>1, 10, 11, 12, 13, 14, 15, 27, 28, 42, 43, 44, 45, 46, 47, 48, 49, 50</t>
  </si>
  <si>
    <t>14, 15, 17, 33, 37, 39, 40, 41</t>
  </si>
  <si>
    <t>ELLIOT HAS R3 MATCHES 41-51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</si>
</sst>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 (Body)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2" fillId="0" borderId="0" xfId="0" applyFont="1"/>
    <xf numFmtId="0" fontId="3" fillId="0" borderId="0" xfId="0" applyFont="1"/>
    <xf numFmtId="0" fontId="4" fillId="2" borderId="0" xfId="0" applyFont="1" applyFill="1"/>
  </cellXfs>
  <cellStyles count="1">
    <cellStyle name="Normal" xfId="0" builtinId="0"/>
  </cellStyles>
  <dxfs count="4"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25400</xdr:colOff>
          <xdr:row>417</xdr:row>
          <xdr:rowOff>38100</xdr:rowOff>
        </xdr:from>
        <xdr:to>
          <xdr:col>10</xdr:col>
          <xdr:colOff>673100</xdr:colOff>
          <xdr:row>420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Scan 1 QR Code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417</xdr:row>
          <xdr:rowOff>63500</xdr:rowOff>
        </xdr:from>
        <xdr:to>
          <xdr:col>4</xdr:col>
          <xdr:colOff>101600</xdr:colOff>
          <xdr:row>419</xdr:row>
          <xdr:rowOff>101600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Scan 6 QR Codes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420</xdr:row>
          <xdr:rowOff>165100</xdr:rowOff>
        </xdr:from>
        <xdr:to>
          <xdr:col>4</xdr:col>
          <xdr:colOff>101600</xdr:colOff>
          <xdr:row>422</xdr:row>
          <xdr:rowOff>177800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Test SaveData()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5098949-376B-4DB0-B0B0-1F4A2B7C55ED}" name="ScoutingData" displayName="ScoutingData" ref="A1:AO416" totalsRowShown="0">
  <autoFilter ref="A1:AO416" xr:uid="{45098949-376B-4DB0-B0B0-1F4A2B7C55ED}"/>
  <sortState xmlns:xlrd2="http://schemas.microsoft.com/office/spreadsheetml/2017/richdata2" ref="A5:AO405">
    <sortCondition ref="D1:D416"/>
  </sortState>
  <tableColumns count="41">
    <tableColumn id="1" xr3:uid="{69EEA7D6-01DD-4B6F-B06F-86FA19830E1B}" name="scouter"/>
    <tableColumn id="2" xr3:uid="{852E1E2D-7DE3-485F-AC73-8840DEDA6C5A}" name="eventCode"/>
    <tableColumn id="3" xr3:uid="{41FB4B4E-BF64-4690-B6B6-FCB801CA8262}" name="matchLevel"/>
    <tableColumn id="4" xr3:uid="{ED115B7C-CF90-4E57-91FB-A205D6AD1083}" name="matchNumber"/>
    <tableColumn id="5" xr3:uid="{7FAB71C9-29F0-4C90-8CC2-6A27961D6C60}" name="robot"/>
    <tableColumn id="6" xr3:uid="{196B517F-E202-41C6-97AF-0855B682EF07}" name="teamNumber"/>
    <tableColumn id="7" xr3:uid="{AE5E83C6-4D9A-4A3F-B094-23F99662E585}" name="as"/>
    <tableColumn id="8" xr3:uid="{92335BEF-5637-4CBD-AFCB-FA25636AD76C}" name="asg"/>
    <tableColumn id="9" xr3:uid="{AF874FE2-6427-4F78-A44C-DBFAF89F645D}" name="acc"/>
    <tableColumn id="10" xr3:uid="{08CA9AF4-EBC2-4A5E-ADD6-341D2355712B}" name="acs"/>
    <tableColumn id="11" xr3:uid="{97CE96EF-2CF2-47FE-A78E-7DEC378DDEC8}" name="am"/>
    <tableColumn id="12" xr3:uid="{73655FAE-32AC-494E-9F54-A3938C3D099D}" name="ad"/>
    <tableColumn id="13" xr3:uid="{67570137-864B-4464-B91C-6FADFCBB8341}" name="tct"/>
    <tableColumn id="14" xr3:uid="{1C59594B-747B-4E00-86CB-8328848B37FE}" name="tsg" dataDxfId="3"/>
    <tableColumn id="15" xr3:uid="{4DB95223-77FD-438C-A270-39C4F0C8C21A}" name="tfc"/>
    <tableColumn id="16" xr3:uid="{CEF1EE76-8901-4B24-AD6A-CD2B555A7851}" name="wf"/>
    <tableColumn id="17" xr3:uid="{935A538A-B8E7-42B1-8076-053AD7A661F3}" name="wd"/>
    <tableColumn id="18" xr3:uid="{B2F13DD7-1002-4D3A-B945-C75FCC824411}" name="who"/>
    <tableColumn id="19" xr3:uid="{CED8A41F-661D-4E0F-A7FC-88C559082246}" name="lnk"/>
    <tableColumn id="20" xr3:uid="{20F809C8-C04D-4805-AB64-7591050D2995}" name="fpu"/>
    <tableColumn id="21" xr3:uid="{853F7818-B36C-44F6-8A1B-4448C435E690}" name="dt"/>
    <tableColumn id="22" xr3:uid="{4A7F763C-820F-4E84-B43C-CB9483492194}" name="fs" dataDxfId="2"/>
    <tableColumn id="23" xr3:uid="{50DB8A6E-F012-4D82-809D-726999855AC9}" name="dn"/>
    <tableColumn id="24" xr3:uid="{700B85F1-08FA-4EF0-B9B1-01B7D627F6F3}" name="ds"/>
    <tableColumn id="25" xr3:uid="{B5FB5FB5-AFF8-4E99-A354-F05991DD24B7}" name="ls"/>
    <tableColumn id="26" xr3:uid="{1E0EF799-CDE1-4577-90CE-B0BC1FEF1AAC}" name="dr"/>
    <tableColumn id="27" xr3:uid="{867FFD52-EA99-4E0B-BDC9-29DEB1809668}" name="sd"/>
    <tableColumn id="28" xr3:uid="{0302DC8A-50CD-47AE-90B3-1CA813DDF856}" name="sr"/>
    <tableColumn id="29" xr3:uid="{0BD401FF-9143-4AD6-8BB7-8F021FD55DD7}" name="die"/>
    <tableColumn id="30" xr3:uid="{5AEC590A-B25D-4A5E-A608-2A2C3E703100}" name="tip" dataDxfId="1"/>
    <tableColumn id="31" xr3:uid="{A5ABCCEC-6A92-4DD1-B4B4-3B21AB7E95BA}" name="dc"/>
    <tableColumn id="32" xr3:uid="{6369DBCC-EEB0-429A-9FFC-D3B9A7AD3F1B}" name="all"/>
    <tableColumn id="33" xr3:uid="{04C23691-72E4-4BFA-ACBB-F5CA3901B991}" name="co" dataDxfId="0"/>
    <tableColumn id="34" xr3:uid="{8DE7B4D2-83D1-4DBE-947A-C936459A5178}" name="Column34"/>
    <tableColumn id="35" xr3:uid="{E64008F2-9ED7-4882-9F69-B55308382ABD}" name="Column35"/>
    <tableColumn id="36" xr3:uid="{DB321CA0-5ABD-4F85-922A-B82D4E5C4544}" name="Column36"/>
    <tableColumn id="37" xr3:uid="{FE1491B3-F128-4162-AF69-7D1F8F987C6F}" name="Column37"/>
    <tableColumn id="38" xr3:uid="{3E97374B-8009-491B-8500-9ADC74DED2C2}" name="Column38"/>
    <tableColumn id="39" xr3:uid="{46A9B305-8384-4537-BB2B-56BE2CA09F99}" name="Column39"/>
    <tableColumn id="40" xr3:uid="{C2DC5B9C-9D91-4BF6-BCEA-7FA065F86711}" name="Column40"/>
    <tableColumn id="41" xr3:uid="{49F0A7C5-9F73-41CD-9540-A35EAE6FD6A5}" name="Column4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8FCC35-05DD-4B30-ABA4-356FBBA4A6C4}">
  <sheetPr codeName="Sheet1"/>
  <dimension ref="A1:AO416"/>
  <sheetViews>
    <sheetView zoomScale="130" zoomScaleNormal="130" workbookViewId="0">
      <selection activeCell="E12" sqref="E12"/>
    </sheetView>
  </sheetViews>
  <sheetFormatPr baseColWidth="10" defaultColWidth="8.83203125" defaultRowHeight="15" x14ac:dyDescent="0.2"/>
  <cols>
    <col min="1" max="9" width="10.5" customWidth="1"/>
    <col min="10" max="13" width="11.5" customWidth="1"/>
    <col min="14" max="14" width="19.83203125" customWidth="1"/>
    <col min="15" max="41" width="11.5" customWidth="1"/>
  </cols>
  <sheetData>
    <row r="1" spans="1:41" x14ac:dyDescent="0.2">
      <c r="A1" t="s">
        <v>8</v>
      </c>
      <c r="B1" t="s">
        <v>9</v>
      </c>
      <c r="C1" t="s">
        <v>10</v>
      </c>
      <c r="D1" t="s">
        <v>11</v>
      </c>
      <c r="E1" t="s">
        <v>12</v>
      </c>
      <c r="F1" t="s">
        <v>13</v>
      </c>
      <c r="G1" t="s">
        <v>14</v>
      </c>
      <c r="H1" t="s">
        <v>15</v>
      </c>
      <c r="I1" t="s">
        <v>16</v>
      </c>
      <c r="J1" t="s">
        <v>17</v>
      </c>
      <c r="K1" t="s">
        <v>18</v>
      </c>
      <c r="L1" t="s">
        <v>19</v>
      </c>
      <c r="M1" t="s">
        <v>20</v>
      </c>
      <c r="N1" s="1" t="s">
        <v>786</v>
      </c>
      <c r="O1" t="s">
        <v>21</v>
      </c>
      <c r="P1" t="s">
        <v>22</v>
      </c>
      <c r="Q1" t="s">
        <v>23</v>
      </c>
      <c r="R1" t="s">
        <v>24</v>
      </c>
      <c r="S1" t="s">
        <v>25</v>
      </c>
      <c r="T1" t="s">
        <v>26</v>
      </c>
      <c r="U1" t="s">
        <v>27</v>
      </c>
      <c r="V1" s="1" t="s">
        <v>28</v>
      </c>
      <c r="W1" t="s">
        <v>29</v>
      </c>
      <c r="X1" t="s">
        <v>30</v>
      </c>
      <c r="Y1" t="s">
        <v>31</v>
      </c>
      <c r="Z1" t="s">
        <v>32</v>
      </c>
      <c r="AA1" t="s">
        <v>33</v>
      </c>
      <c r="AB1" t="s">
        <v>34</v>
      </c>
      <c r="AC1" t="s">
        <v>35</v>
      </c>
      <c r="AD1" s="1" t="s">
        <v>36</v>
      </c>
      <c r="AE1" t="s">
        <v>37</v>
      </c>
      <c r="AF1" t="s">
        <v>38</v>
      </c>
      <c r="AG1" s="1" t="s">
        <v>39</v>
      </c>
      <c r="AH1" t="s">
        <v>0</v>
      </c>
      <c r="AI1" t="s">
        <v>1</v>
      </c>
      <c r="AJ1" t="s">
        <v>2</v>
      </c>
      <c r="AK1" t="s">
        <v>3</v>
      </c>
      <c r="AL1" t="s">
        <v>4</v>
      </c>
      <c r="AM1" t="s">
        <v>5</v>
      </c>
      <c r="AN1" t="s">
        <v>6</v>
      </c>
      <c r="AO1" t="s">
        <v>7</v>
      </c>
    </row>
    <row r="2" spans="1:41" x14ac:dyDescent="0.2">
      <c r="A2" t="s">
        <v>50</v>
      </c>
      <c r="B2" t="s">
        <v>41</v>
      </c>
      <c r="C2" t="s">
        <v>42</v>
      </c>
      <c r="D2">
        <v>1</v>
      </c>
      <c r="E2" t="s">
        <v>51</v>
      </c>
      <c r="F2">
        <v>5402</v>
      </c>
      <c r="G2" t="s">
        <v>44</v>
      </c>
      <c r="H2" t="s">
        <v>47</v>
      </c>
      <c r="I2">
        <v>0</v>
      </c>
      <c r="J2">
        <v>0</v>
      </c>
      <c r="K2">
        <v>0</v>
      </c>
      <c r="L2" t="s">
        <v>46</v>
      </c>
      <c r="M2" t="s">
        <v>47</v>
      </c>
      <c r="N2" t="s">
        <v>52</v>
      </c>
      <c r="O2">
        <v>0</v>
      </c>
      <c r="P2">
        <v>0</v>
      </c>
      <c r="Q2">
        <v>0</v>
      </c>
      <c r="S2">
        <v>0</v>
      </c>
      <c r="T2">
        <v>0</v>
      </c>
      <c r="U2">
        <v>6.9</v>
      </c>
      <c r="V2" t="s">
        <v>53</v>
      </c>
      <c r="W2">
        <v>2</v>
      </c>
      <c r="X2">
        <v>1</v>
      </c>
      <c r="Y2">
        <v>0</v>
      </c>
      <c r="Z2" t="s">
        <v>54</v>
      </c>
      <c r="AA2">
        <v>1</v>
      </c>
      <c r="AB2">
        <v>3</v>
      </c>
      <c r="AC2">
        <v>0</v>
      </c>
      <c r="AD2">
        <v>0</v>
      </c>
      <c r="AE2">
        <v>0</v>
      </c>
      <c r="AF2">
        <v>0</v>
      </c>
      <c r="AG2" t="s">
        <v>55</v>
      </c>
    </row>
    <row r="3" spans="1:41" x14ac:dyDescent="0.2">
      <c r="A3" t="s">
        <v>70</v>
      </c>
      <c r="B3" t="s">
        <v>41</v>
      </c>
      <c r="C3" t="s">
        <v>42</v>
      </c>
      <c r="D3">
        <v>1</v>
      </c>
      <c r="E3" t="s">
        <v>51</v>
      </c>
      <c r="F3">
        <v>5402</v>
      </c>
      <c r="G3" t="s">
        <v>71</v>
      </c>
      <c r="H3" t="s">
        <v>47</v>
      </c>
      <c r="I3">
        <v>0</v>
      </c>
      <c r="J3">
        <v>0</v>
      </c>
      <c r="K3">
        <v>0</v>
      </c>
      <c r="L3" t="s">
        <v>46</v>
      </c>
      <c r="M3" t="s">
        <v>47</v>
      </c>
      <c r="N3" t="s">
        <v>52</v>
      </c>
      <c r="O3">
        <v>0</v>
      </c>
      <c r="P3">
        <v>0</v>
      </c>
      <c r="Q3">
        <v>0</v>
      </c>
      <c r="S3">
        <v>0</v>
      </c>
      <c r="T3">
        <v>0</v>
      </c>
      <c r="U3">
        <v>0</v>
      </c>
      <c r="V3" t="s">
        <v>60</v>
      </c>
      <c r="W3">
        <v>2</v>
      </c>
      <c r="X3">
        <v>1</v>
      </c>
      <c r="Y3">
        <v>0</v>
      </c>
      <c r="Z3" t="s">
        <v>46</v>
      </c>
      <c r="AA3">
        <v>0</v>
      </c>
      <c r="AB3">
        <v>2</v>
      </c>
      <c r="AC3">
        <v>0</v>
      </c>
      <c r="AD3">
        <v>0</v>
      </c>
      <c r="AE3">
        <v>1</v>
      </c>
      <c r="AF3">
        <v>0</v>
      </c>
    </row>
    <row r="4" spans="1:41" x14ac:dyDescent="0.2">
      <c r="A4" t="s">
        <v>76</v>
      </c>
      <c r="B4" t="s">
        <v>41</v>
      </c>
      <c r="C4" t="s">
        <v>42</v>
      </c>
      <c r="D4">
        <v>1</v>
      </c>
      <c r="E4" t="s">
        <v>43</v>
      </c>
      <c r="F4">
        <v>2909</v>
      </c>
      <c r="G4" t="s">
        <v>64</v>
      </c>
      <c r="H4" t="s">
        <v>47</v>
      </c>
      <c r="I4">
        <v>0</v>
      </c>
      <c r="J4">
        <v>0</v>
      </c>
      <c r="K4">
        <v>0</v>
      </c>
      <c r="L4" t="s">
        <v>49</v>
      </c>
      <c r="M4" t="s">
        <v>47</v>
      </c>
      <c r="N4" t="s">
        <v>77</v>
      </c>
      <c r="O4">
        <v>0</v>
      </c>
      <c r="P4">
        <v>0</v>
      </c>
      <c r="Q4">
        <v>0</v>
      </c>
      <c r="S4">
        <v>0</v>
      </c>
      <c r="T4">
        <v>0</v>
      </c>
      <c r="U4">
        <v>0</v>
      </c>
      <c r="V4" t="s">
        <v>49</v>
      </c>
      <c r="W4">
        <v>2</v>
      </c>
      <c r="Y4">
        <v>0</v>
      </c>
      <c r="Z4" t="s">
        <v>46</v>
      </c>
      <c r="AA4">
        <v>0</v>
      </c>
      <c r="AB4">
        <v>3</v>
      </c>
      <c r="AC4">
        <v>1</v>
      </c>
      <c r="AD4">
        <v>0</v>
      </c>
      <c r="AE4">
        <v>0</v>
      </c>
      <c r="AF4">
        <v>0</v>
      </c>
    </row>
    <row r="5" spans="1:41" x14ac:dyDescent="0.2">
      <c r="A5" t="s">
        <v>84</v>
      </c>
      <c r="B5" t="s">
        <v>41</v>
      </c>
      <c r="C5" t="s">
        <v>42</v>
      </c>
      <c r="D5">
        <v>1</v>
      </c>
      <c r="E5" t="s">
        <v>67</v>
      </c>
      <c r="F5">
        <v>3176</v>
      </c>
      <c r="G5" t="s">
        <v>72</v>
      </c>
      <c r="H5" t="s">
        <v>87</v>
      </c>
      <c r="I5">
        <v>0</v>
      </c>
      <c r="J5">
        <v>1</v>
      </c>
      <c r="K5">
        <v>1</v>
      </c>
      <c r="L5" t="s">
        <v>60</v>
      </c>
      <c r="M5" t="s">
        <v>88</v>
      </c>
      <c r="N5" t="s">
        <v>89</v>
      </c>
      <c r="O5">
        <v>0</v>
      </c>
      <c r="P5">
        <v>1</v>
      </c>
      <c r="Q5">
        <v>0</v>
      </c>
      <c r="S5">
        <v>0</v>
      </c>
      <c r="T5">
        <v>2</v>
      </c>
      <c r="U5">
        <v>3.1</v>
      </c>
      <c r="V5" t="s">
        <v>60</v>
      </c>
      <c r="W5">
        <v>2</v>
      </c>
      <c r="X5">
        <v>2</v>
      </c>
      <c r="Y5">
        <v>0</v>
      </c>
      <c r="Z5" t="s">
        <v>49</v>
      </c>
      <c r="AA5">
        <v>0</v>
      </c>
      <c r="AB5">
        <v>3</v>
      </c>
      <c r="AC5">
        <v>0</v>
      </c>
      <c r="AD5">
        <v>0</v>
      </c>
      <c r="AE5">
        <v>0</v>
      </c>
      <c r="AF5">
        <v>1</v>
      </c>
      <c r="AG5" t="s">
        <v>90</v>
      </c>
    </row>
    <row r="6" spans="1:41" x14ac:dyDescent="0.2">
      <c r="A6" t="s">
        <v>91</v>
      </c>
      <c r="B6" t="s">
        <v>41</v>
      </c>
      <c r="C6" t="s">
        <v>42</v>
      </c>
      <c r="D6">
        <v>1</v>
      </c>
      <c r="E6" t="s">
        <v>85</v>
      </c>
      <c r="F6">
        <v>3940</v>
      </c>
      <c r="G6" t="s">
        <v>92</v>
      </c>
      <c r="H6" t="s">
        <v>93</v>
      </c>
      <c r="I6">
        <v>1</v>
      </c>
      <c r="J6">
        <v>1</v>
      </c>
      <c r="K6">
        <v>1</v>
      </c>
      <c r="L6" t="s">
        <v>46</v>
      </c>
      <c r="M6" t="s">
        <v>47</v>
      </c>
      <c r="N6" t="s">
        <v>94</v>
      </c>
      <c r="O6">
        <v>0</v>
      </c>
      <c r="P6">
        <v>0</v>
      </c>
      <c r="Q6">
        <v>0</v>
      </c>
      <c r="S6">
        <v>1</v>
      </c>
      <c r="T6">
        <v>3</v>
      </c>
      <c r="U6">
        <v>0</v>
      </c>
      <c r="V6" t="s">
        <v>46</v>
      </c>
      <c r="W6">
        <v>2</v>
      </c>
      <c r="X6">
        <v>1</v>
      </c>
      <c r="Y6">
        <v>1</v>
      </c>
      <c r="Z6" t="s">
        <v>46</v>
      </c>
      <c r="AA6">
        <v>0</v>
      </c>
      <c r="AB6">
        <v>5</v>
      </c>
      <c r="AC6">
        <v>0</v>
      </c>
      <c r="AD6">
        <v>0</v>
      </c>
      <c r="AE6">
        <v>1</v>
      </c>
      <c r="AF6">
        <v>0</v>
      </c>
      <c r="AG6" t="s">
        <v>95</v>
      </c>
    </row>
    <row r="7" spans="1:41" x14ac:dyDescent="0.2">
      <c r="A7" t="s">
        <v>97</v>
      </c>
      <c r="B7" t="s">
        <v>41</v>
      </c>
      <c r="C7" t="s">
        <v>42</v>
      </c>
      <c r="D7">
        <v>1</v>
      </c>
      <c r="E7" t="s">
        <v>85</v>
      </c>
      <c r="F7">
        <v>3940</v>
      </c>
      <c r="G7" t="s">
        <v>92</v>
      </c>
      <c r="H7" t="s">
        <v>93</v>
      </c>
      <c r="I7">
        <v>1</v>
      </c>
      <c r="J7">
        <v>1</v>
      </c>
      <c r="K7">
        <v>1</v>
      </c>
      <c r="L7" t="s">
        <v>46</v>
      </c>
      <c r="M7" t="s">
        <v>98</v>
      </c>
      <c r="N7" t="s">
        <v>99</v>
      </c>
      <c r="O7">
        <v>0</v>
      </c>
      <c r="P7">
        <v>0</v>
      </c>
      <c r="Q7">
        <v>0</v>
      </c>
      <c r="S7">
        <v>1</v>
      </c>
      <c r="T7">
        <v>3</v>
      </c>
      <c r="U7">
        <v>0</v>
      </c>
      <c r="V7" t="s">
        <v>46</v>
      </c>
      <c r="W7">
        <v>2</v>
      </c>
      <c r="X7">
        <v>2</v>
      </c>
      <c r="Y7">
        <v>1</v>
      </c>
      <c r="Z7" t="s">
        <v>46</v>
      </c>
      <c r="AA7">
        <v>1</v>
      </c>
      <c r="AB7">
        <v>4</v>
      </c>
      <c r="AC7">
        <v>0</v>
      </c>
      <c r="AD7">
        <v>0</v>
      </c>
      <c r="AE7">
        <v>0</v>
      </c>
      <c r="AF7">
        <v>1</v>
      </c>
    </row>
    <row r="8" spans="1:41" x14ac:dyDescent="0.2">
      <c r="A8" t="s">
        <v>143</v>
      </c>
      <c r="B8" t="s">
        <v>41</v>
      </c>
      <c r="C8" t="s">
        <v>42</v>
      </c>
      <c r="D8">
        <v>1</v>
      </c>
      <c r="E8" t="s">
        <v>81</v>
      </c>
      <c r="F8">
        <v>3147</v>
      </c>
      <c r="G8" t="s">
        <v>71</v>
      </c>
      <c r="H8" t="s">
        <v>47</v>
      </c>
      <c r="I8">
        <v>0</v>
      </c>
      <c r="J8">
        <v>0</v>
      </c>
      <c r="K8">
        <v>1</v>
      </c>
      <c r="L8" t="s">
        <v>46</v>
      </c>
      <c r="M8" t="s">
        <v>144</v>
      </c>
      <c r="N8" t="s">
        <v>145</v>
      </c>
      <c r="O8">
        <v>0</v>
      </c>
      <c r="P8">
        <v>1</v>
      </c>
      <c r="Q8">
        <v>0</v>
      </c>
      <c r="S8">
        <v>0</v>
      </c>
      <c r="T8">
        <v>1</v>
      </c>
      <c r="U8">
        <v>11.9</v>
      </c>
      <c r="V8" t="s">
        <v>60</v>
      </c>
      <c r="W8">
        <v>2</v>
      </c>
      <c r="X8">
        <v>1</v>
      </c>
      <c r="Y8">
        <v>0</v>
      </c>
      <c r="Z8" t="s">
        <v>46</v>
      </c>
      <c r="AA8">
        <v>1</v>
      </c>
      <c r="AB8">
        <v>3</v>
      </c>
      <c r="AC8">
        <v>0</v>
      </c>
      <c r="AD8">
        <v>0</v>
      </c>
      <c r="AE8">
        <v>1</v>
      </c>
      <c r="AF8">
        <v>0</v>
      </c>
    </row>
    <row r="9" spans="1:41" x14ac:dyDescent="0.2">
      <c r="A9" t="s">
        <v>80</v>
      </c>
      <c r="B9" t="s">
        <v>41</v>
      </c>
      <c r="C9" t="s">
        <v>42</v>
      </c>
      <c r="D9">
        <v>1</v>
      </c>
      <c r="E9" t="s">
        <v>81</v>
      </c>
      <c r="F9">
        <v>3147</v>
      </c>
      <c r="G9" t="s">
        <v>71</v>
      </c>
      <c r="H9" t="s">
        <v>47</v>
      </c>
      <c r="I9">
        <v>0</v>
      </c>
      <c r="J9">
        <v>0</v>
      </c>
      <c r="K9">
        <v>1</v>
      </c>
      <c r="L9" t="s">
        <v>46</v>
      </c>
      <c r="M9" t="s">
        <v>47</v>
      </c>
      <c r="N9" t="s">
        <v>45</v>
      </c>
      <c r="O9">
        <v>0</v>
      </c>
      <c r="P9">
        <v>1</v>
      </c>
      <c r="Q9">
        <v>0</v>
      </c>
      <c r="S9">
        <v>0</v>
      </c>
      <c r="T9">
        <v>0</v>
      </c>
      <c r="U9">
        <v>11.2</v>
      </c>
      <c r="V9" t="s">
        <v>60</v>
      </c>
      <c r="W9">
        <v>2</v>
      </c>
      <c r="X9">
        <v>0</v>
      </c>
      <c r="Y9">
        <v>0</v>
      </c>
      <c r="Z9" t="s">
        <v>46</v>
      </c>
      <c r="AA9">
        <v>0</v>
      </c>
      <c r="AB9">
        <v>4</v>
      </c>
      <c r="AC9">
        <v>0</v>
      </c>
      <c r="AD9">
        <v>1</v>
      </c>
      <c r="AE9">
        <v>1</v>
      </c>
      <c r="AF9">
        <v>0</v>
      </c>
      <c r="AG9" t="s">
        <v>82</v>
      </c>
    </row>
    <row r="10" spans="1:41" x14ac:dyDescent="0.2">
      <c r="A10" t="s">
        <v>40</v>
      </c>
      <c r="B10" t="s">
        <v>41</v>
      </c>
      <c r="C10" t="s">
        <v>42</v>
      </c>
      <c r="D10">
        <v>2</v>
      </c>
      <c r="E10" t="s">
        <v>43</v>
      </c>
      <c r="F10">
        <v>6956</v>
      </c>
      <c r="G10" t="s">
        <v>44</v>
      </c>
      <c r="H10" t="s">
        <v>45</v>
      </c>
      <c r="I10">
        <v>0</v>
      </c>
      <c r="J10">
        <v>0</v>
      </c>
      <c r="K10">
        <v>0</v>
      </c>
      <c r="L10" t="s">
        <v>46</v>
      </c>
      <c r="M10" t="s">
        <v>47</v>
      </c>
      <c r="N10" t="s">
        <v>48</v>
      </c>
      <c r="O10">
        <v>0</v>
      </c>
      <c r="P10">
        <v>0</v>
      </c>
      <c r="Q10">
        <v>0</v>
      </c>
      <c r="S10">
        <v>0</v>
      </c>
      <c r="T10">
        <v>2</v>
      </c>
      <c r="U10">
        <v>0</v>
      </c>
      <c r="V10" t="s">
        <v>49</v>
      </c>
      <c r="W10">
        <v>2</v>
      </c>
      <c r="X10">
        <v>0</v>
      </c>
      <c r="Y10">
        <v>1</v>
      </c>
      <c r="Z10" t="s">
        <v>46</v>
      </c>
      <c r="AA10">
        <v>1</v>
      </c>
      <c r="AB10">
        <v>2</v>
      </c>
      <c r="AC10">
        <v>0</v>
      </c>
      <c r="AD10">
        <v>0</v>
      </c>
      <c r="AE10">
        <v>1</v>
      </c>
      <c r="AF10">
        <v>0</v>
      </c>
    </row>
    <row r="11" spans="1:41" x14ac:dyDescent="0.2">
      <c r="A11" t="s">
        <v>50</v>
      </c>
      <c r="B11" t="s">
        <v>41</v>
      </c>
      <c r="C11" t="s">
        <v>42</v>
      </c>
      <c r="D11">
        <v>2</v>
      </c>
      <c r="E11" t="s">
        <v>51</v>
      </c>
      <c r="F11">
        <v>3176</v>
      </c>
      <c r="G11" t="s">
        <v>56</v>
      </c>
      <c r="H11" t="s">
        <v>57</v>
      </c>
      <c r="I11">
        <v>1</v>
      </c>
      <c r="J11">
        <v>1</v>
      </c>
      <c r="K11">
        <v>1</v>
      </c>
      <c r="L11" t="s">
        <v>49</v>
      </c>
      <c r="M11" t="s">
        <v>58</v>
      </c>
      <c r="N11" t="s">
        <v>59</v>
      </c>
      <c r="O11">
        <v>0</v>
      </c>
      <c r="P11">
        <v>1</v>
      </c>
      <c r="Q11">
        <v>0</v>
      </c>
      <c r="S11">
        <v>1</v>
      </c>
      <c r="T11">
        <v>0</v>
      </c>
      <c r="U11">
        <v>0</v>
      </c>
      <c r="V11" t="s">
        <v>49</v>
      </c>
      <c r="W11">
        <v>0</v>
      </c>
      <c r="X11">
        <v>2</v>
      </c>
      <c r="Y11">
        <v>2</v>
      </c>
      <c r="Z11" t="s">
        <v>60</v>
      </c>
      <c r="AA11">
        <v>1</v>
      </c>
      <c r="AB11">
        <v>5</v>
      </c>
      <c r="AC11">
        <v>0</v>
      </c>
      <c r="AD11">
        <v>0</v>
      </c>
      <c r="AE11">
        <v>0</v>
      </c>
      <c r="AF11">
        <v>1</v>
      </c>
      <c r="AG11" t="s">
        <v>61</v>
      </c>
    </row>
    <row r="12" spans="1:41" x14ac:dyDescent="0.2">
      <c r="A12" t="s">
        <v>62</v>
      </c>
      <c r="B12" t="s">
        <v>41</v>
      </c>
      <c r="C12" t="s">
        <v>42</v>
      </c>
      <c r="D12">
        <v>2</v>
      </c>
      <c r="E12" t="s">
        <v>63</v>
      </c>
      <c r="F12">
        <v>1555</v>
      </c>
      <c r="G12" t="s">
        <v>64</v>
      </c>
      <c r="H12" t="s">
        <v>47</v>
      </c>
      <c r="I12">
        <v>0</v>
      </c>
      <c r="J12">
        <v>0</v>
      </c>
      <c r="K12">
        <v>0</v>
      </c>
      <c r="L12" t="s">
        <v>46</v>
      </c>
      <c r="M12" t="s">
        <v>47</v>
      </c>
      <c r="N12" t="s">
        <v>47</v>
      </c>
      <c r="O12">
        <v>0</v>
      </c>
      <c r="P12">
        <v>0</v>
      </c>
      <c r="Q12">
        <v>0</v>
      </c>
      <c r="S12">
        <v>0</v>
      </c>
      <c r="T12">
        <v>0</v>
      </c>
      <c r="U12">
        <v>0</v>
      </c>
      <c r="V12" t="s">
        <v>49</v>
      </c>
      <c r="W12">
        <v>0</v>
      </c>
      <c r="X12">
        <v>0</v>
      </c>
      <c r="Y12">
        <v>0</v>
      </c>
      <c r="Z12" t="s">
        <v>46</v>
      </c>
      <c r="AA12">
        <v>0</v>
      </c>
      <c r="AB12">
        <v>1</v>
      </c>
      <c r="AC12">
        <v>0</v>
      </c>
      <c r="AD12">
        <v>0</v>
      </c>
      <c r="AE12">
        <v>0</v>
      </c>
      <c r="AF12">
        <v>0</v>
      </c>
      <c r="AG12" t="s">
        <v>65</v>
      </c>
    </row>
    <row r="13" spans="1:41" x14ac:dyDescent="0.2">
      <c r="A13" t="s">
        <v>70</v>
      </c>
      <c r="B13" t="s">
        <v>41</v>
      </c>
      <c r="C13" t="s">
        <v>42</v>
      </c>
      <c r="D13">
        <v>2</v>
      </c>
      <c r="E13" t="s">
        <v>51</v>
      </c>
      <c r="F13">
        <v>3176</v>
      </c>
      <c r="G13" t="s">
        <v>72</v>
      </c>
      <c r="H13" t="s">
        <v>73</v>
      </c>
      <c r="I13">
        <v>1</v>
      </c>
      <c r="J13">
        <v>0</v>
      </c>
      <c r="K13">
        <v>0</v>
      </c>
      <c r="L13" t="s">
        <v>49</v>
      </c>
      <c r="M13" t="s">
        <v>74</v>
      </c>
      <c r="N13" t="s">
        <v>75</v>
      </c>
      <c r="O13">
        <v>0</v>
      </c>
      <c r="P13">
        <v>0</v>
      </c>
      <c r="Q13">
        <v>0</v>
      </c>
      <c r="S13">
        <v>1</v>
      </c>
      <c r="T13">
        <v>0</v>
      </c>
      <c r="U13">
        <v>0</v>
      </c>
      <c r="V13" t="s">
        <v>49</v>
      </c>
      <c r="W13">
        <v>0</v>
      </c>
      <c r="X13">
        <v>2</v>
      </c>
      <c r="Y13">
        <v>1</v>
      </c>
      <c r="Z13" t="s">
        <v>46</v>
      </c>
      <c r="AA13">
        <v>1</v>
      </c>
      <c r="AB13">
        <v>4</v>
      </c>
      <c r="AC13">
        <v>0</v>
      </c>
      <c r="AD13">
        <v>0</v>
      </c>
      <c r="AE13">
        <v>0</v>
      </c>
      <c r="AF13">
        <v>0</v>
      </c>
    </row>
    <row r="14" spans="1:41" x14ac:dyDescent="0.2">
      <c r="A14" t="s">
        <v>76</v>
      </c>
      <c r="B14" t="s">
        <v>41</v>
      </c>
      <c r="C14" t="s">
        <v>42</v>
      </c>
      <c r="D14">
        <v>2</v>
      </c>
      <c r="E14" t="s">
        <v>43</v>
      </c>
      <c r="F14">
        <v>6596</v>
      </c>
      <c r="G14" t="s">
        <v>78</v>
      </c>
      <c r="H14" t="s">
        <v>45</v>
      </c>
      <c r="I14">
        <v>1</v>
      </c>
      <c r="J14">
        <v>0</v>
      </c>
      <c r="K14">
        <v>1</v>
      </c>
      <c r="L14" t="s">
        <v>46</v>
      </c>
      <c r="M14" t="s">
        <v>47</v>
      </c>
      <c r="N14" t="s">
        <v>48</v>
      </c>
      <c r="O14">
        <v>0</v>
      </c>
      <c r="P14">
        <v>0</v>
      </c>
      <c r="Q14">
        <v>0</v>
      </c>
      <c r="S14">
        <v>0</v>
      </c>
      <c r="T14">
        <v>2</v>
      </c>
      <c r="U14">
        <v>0</v>
      </c>
      <c r="V14" t="s">
        <v>46</v>
      </c>
      <c r="W14">
        <v>0</v>
      </c>
      <c r="X14">
        <v>1</v>
      </c>
      <c r="Y14">
        <v>0</v>
      </c>
      <c r="Z14" t="s">
        <v>46</v>
      </c>
      <c r="AA14">
        <v>1</v>
      </c>
      <c r="AB14">
        <v>3</v>
      </c>
      <c r="AC14">
        <v>0</v>
      </c>
      <c r="AD14">
        <v>0</v>
      </c>
      <c r="AE14">
        <v>0</v>
      </c>
      <c r="AF14">
        <v>0</v>
      </c>
      <c r="AG14" t="s">
        <v>79</v>
      </c>
    </row>
    <row r="15" spans="1:41" x14ac:dyDescent="0.2">
      <c r="A15" t="s">
        <v>80</v>
      </c>
      <c r="B15" t="s">
        <v>41</v>
      </c>
      <c r="C15" t="s">
        <v>42</v>
      </c>
      <c r="D15">
        <v>2</v>
      </c>
      <c r="E15" t="s">
        <v>81</v>
      </c>
      <c r="F15">
        <v>6721</v>
      </c>
      <c r="G15" t="s">
        <v>71</v>
      </c>
      <c r="H15" t="s">
        <v>47</v>
      </c>
      <c r="I15">
        <v>1</v>
      </c>
      <c r="J15">
        <v>1</v>
      </c>
      <c r="K15">
        <v>1</v>
      </c>
      <c r="L15" t="s">
        <v>46</v>
      </c>
      <c r="M15" t="s">
        <v>47</v>
      </c>
      <c r="N15" t="s">
        <v>47</v>
      </c>
      <c r="O15">
        <v>0</v>
      </c>
      <c r="P15">
        <v>0</v>
      </c>
      <c r="Q15">
        <v>0</v>
      </c>
      <c r="S15">
        <v>0</v>
      </c>
      <c r="T15">
        <v>0</v>
      </c>
      <c r="U15">
        <v>0</v>
      </c>
      <c r="V15" t="s">
        <v>46</v>
      </c>
      <c r="W15">
        <v>2</v>
      </c>
      <c r="X15">
        <v>-1</v>
      </c>
      <c r="Y15">
        <v>0</v>
      </c>
      <c r="Z15" t="s">
        <v>46</v>
      </c>
      <c r="AA15">
        <v>0</v>
      </c>
      <c r="AB15">
        <v>2</v>
      </c>
      <c r="AC15">
        <v>1</v>
      </c>
      <c r="AD15">
        <v>0</v>
      </c>
      <c r="AE15">
        <v>1</v>
      </c>
      <c r="AF15">
        <v>0</v>
      </c>
      <c r="AG15" t="s">
        <v>83</v>
      </c>
    </row>
    <row r="16" spans="1:41" x14ac:dyDescent="0.2">
      <c r="A16" t="s">
        <v>84</v>
      </c>
      <c r="B16" t="s">
        <v>41</v>
      </c>
      <c r="C16" t="s">
        <v>42</v>
      </c>
      <c r="D16">
        <v>2</v>
      </c>
      <c r="E16" t="s">
        <v>67</v>
      </c>
      <c r="F16">
        <v>6721</v>
      </c>
      <c r="G16" t="s">
        <v>71</v>
      </c>
      <c r="H16" t="s">
        <v>47</v>
      </c>
      <c r="I16">
        <v>1</v>
      </c>
      <c r="J16">
        <v>1</v>
      </c>
      <c r="K16">
        <v>1</v>
      </c>
      <c r="L16" t="s">
        <v>46</v>
      </c>
      <c r="M16" t="s">
        <v>47</v>
      </c>
      <c r="N16" t="s">
        <v>47</v>
      </c>
      <c r="O16">
        <v>0</v>
      </c>
      <c r="P16">
        <v>0</v>
      </c>
      <c r="Q16">
        <v>0</v>
      </c>
      <c r="S16">
        <v>0</v>
      </c>
      <c r="T16">
        <v>0</v>
      </c>
      <c r="U16">
        <v>0</v>
      </c>
      <c r="V16" t="s">
        <v>46</v>
      </c>
      <c r="W16">
        <v>2</v>
      </c>
      <c r="X16">
        <v>0</v>
      </c>
      <c r="Y16">
        <v>0</v>
      </c>
      <c r="Z16" t="s">
        <v>54</v>
      </c>
      <c r="AA16">
        <v>0</v>
      </c>
      <c r="AB16">
        <v>1</v>
      </c>
      <c r="AC16">
        <v>1</v>
      </c>
      <c r="AD16">
        <v>0</v>
      </c>
      <c r="AE16">
        <v>0</v>
      </c>
      <c r="AF16">
        <v>0</v>
      </c>
      <c r="AG16" t="s">
        <v>86</v>
      </c>
    </row>
    <row r="17" spans="1:33" x14ac:dyDescent="0.2">
      <c r="A17" t="s">
        <v>91</v>
      </c>
      <c r="B17" t="s">
        <v>41</v>
      </c>
      <c r="C17" t="s">
        <v>42</v>
      </c>
      <c r="D17">
        <v>2</v>
      </c>
      <c r="E17" t="s">
        <v>85</v>
      </c>
      <c r="F17">
        <v>5484</v>
      </c>
      <c r="G17" t="s">
        <v>92</v>
      </c>
      <c r="H17" t="s">
        <v>96</v>
      </c>
      <c r="I17">
        <v>1</v>
      </c>
      <c r="J17">
        <v>0</v>
      </c>
      <c r="K17">
        <v>1</v>
      </c>
      <c r="L17" t="s">
        <v>46</v>
      </c>
      <c r="M17" t="s">
        <v>47</v>
      </c>
      <c r="N17" t="s">
        <v>93</v>
      </c>
      <c r="O17">
        <v>0</v>
      </c>
      <c r="P17">
        <v>0</v>
      </c>
      <c r="Q17">
        <v>0</v>
      </c>
      <c r="S17">
        <v>0</v>
      </c>
      <c r="T17">
        <v>3</v>
      </c>
      <c r="U17">
        <v>0</v>
      </c>
      <c r="V17" t="s">
        <v>60</v>
      </c>
      <c r="W17">
        <v>2</v>
      </c>
      <c r="X17">
        <v>0</v>
      </c>
      <c r="Y17">
        <v>0</v>
      </c>
      <c r="Z17" t="s">
        <v>46</v>
      </c>
      <c r="AA17">
        <v>0</v>
      </c>
      <c r="AB17">
        <v>2</v>
      </c>
      <c r="AC17">
        <v>0</v>
      </c>
      <c r="AD17">
        <v>0</v>
      </c>
      <c r="AE17">
        <v>1</v>
      </c>
      <c r="AF17">
        <v>0</v>
      </c>
    </row>
    <row r="18" spans="1:33" x14ac:dyDescent="0.2">
      <c r="A18" t="s">
        <v>100</v>
      </c>
      <c r="B18" t="s">
        <v>41</v>
      </c>
      <c r="C18" t="s">
        <v>42</v>
      </c>
      <c r="D18">
        <v>2</v>
      </c>
      <c r="E18" t="s">
        <v>85</v>
      </c>
      <c r="F18">
        <v>5484</v>
      </c>
      <c r="G18" t="s">
        <v>72</v>
      </c>
      <c r="H18" t="s">
        <v>93</v>
      </c>
      <c r="I18">
        <v>0</v>
      </c>
      <c r="J18">
        <v>0</v>
      </c>
      <c r="K18">
        <v>0</v>
      </c>
      <c r="L18" t="s">
        <v>46</v>
      </c>
      <c r="M18" t="s">
        <v>47</v>
      </c>
      <c r="N18" t="s">
        <v>101</v>
      </c>
      <c r="O18">
        <v>0</v>
      </c>
      <c r="P18">
        <v>1</v>
      </c>
      <c r="Q18">
        <v>1</v>
      </c>
      <c r="R18">
        <v>6955</v>
      </c>
      <c r="S18">
        <v>0</v>
      </c>
      <c r="T18">
        <v>0</v>
      </c>
      <c r="U18">
        <v>0</v>
      </c>
      <c r="V18" t="s">
        <v>60</v>
      </c>
      <c r="W18">
        <v>2</v>
      </c>
      <c r="X18">
        <v>1</v>
      </c>
      <c r="Y18">
        <v>0</v>
      </c>
      <c r="Z18" t="s">
        <v>49</v>
      </c>
      <c r="AA18">
        <v>0</v>
      </c>
      <c r="AB18">
        <v>4</v>
      </c>
      <c r="AC18">
        <v>0</v>
      </c>
      <c r="AD18">
        <v>0</v>
      </c>
      <c r="AE18">
        <v>0</v>
      </c>
      <c r="AF18">
        <v>0</v>
      </c>
      <c r="AG18" t="s">
        <v>102</v>
      </c>
    </row>
    <row r="19" spans="1:33" x14ac:dyDescent="0.2">
      <c r="A19" t="s">
        <v>143</v>
      </c>
      <c r="B19" t="s">
        <v>41</v>
      </c>
      <c r="C19" t="s">
        <v>42</v>
      </c>
      <c r="D19">
        <v>2</v>
      </c>
      <c r="E19" t="s">
        <v>81</v>
      </c>
      <c r="F19">
        <v>3487</v>
      </c>
      <c r="G19" t="s">
        <v>68</v>
      </c>
      <c r="H19" t="s">
        <v>87</v>
      </c>
      <c r="I19">
        <v>0</v>
      </c>
      <c r="J19">
        <v>0</v>
      </c>
      <c r="K19">
        <v>1</v>
      </c>
      <c r="L19" t="s">
        <v>60</v>
      </c>
      <c r="M19" t="s">
        <v>146</v>
      </c>
      <c r="N19" t="s">
        <v>147</v>
      </c>
      <c r="O19">
        <v>0</v>
      </c>
      <c r="P19">
        <v>0</v>
      </c>
      <c r="Q19">
        <v>0</v>
      </c>
      <c r="S19">
        <v>1</v>
      </c>
      <c r="T19">
        <v>1</v>
      </c>
      <c r="U19">
        <v>16.5</v>
      </c>
      <c r="V19" t="s">
        <v>53</v>
      </c>
      <c r="W19">
        <v>2</v>
      </c>
      <c r="X19">
        <v>2</v>
      </c>
      <c r="Y19">
        <v>0</v>
      </c>
      <c r="Z19" t="s">
        <v>46</v>
      </c>
      <c r="AA19">
        <v>0</v>
      </c>
      <c r="AB19">
        <v>4</v>
      </c>
      <c r="AC19">
        <v>0</v>
      </c>
      <c r="AD19">
        <v>0</v>
      </c>
      <c r="AE19">
        <v>0</v>
      </c>
      <c r="AF19">
        <v>1</v>
      </c>
    </row>
    <row r="20" spans="1:33" x14ac:dyDescent="0.2">
      <c r="A20" t="s">
        <v>167</v>
      </c>
      <c r="B20" t="s">
        <v>41</v>
      </c>
      <c r="C20" t="s">
        <v>42</v>
      </c>
      <c r="D20">
        <v>2</v>
      </c>
      <c r="E20" t="s">
        <v>63</v>
      </c>
      <c r="F20">
        <v>1555</v>
      </c>
      <c r="G20" t="s">
        <v>78</v>
      </c>
      <c r="H20" t="s">
        <v>47</v>
      </c>
      <c r="I20">
        <v>0</v>
      </c>
      <c r="J20">
        <v>0</v>
      </c>
      <c r="K20">
        <v>0</v>
      </c>
      <c r="L20" t="s">
        <v>46</v>
      </c>
      <c r="M20" t="s">
        <v>168</v>
      </c>
      <c r="N20" t="s">
        <v>47</v>
      </c>
      <c r="O20">
        <v>0</v>
      </c>
      <c r="P20">
        <v>0</v>
      </c>
      <c r="Q20">
        <v>0</v>
      </c>
      <c r="S20">
        <v>0</v>
      </c>
      <c r="T20">
        <v>0</v>
      </c>
      <c r="U20">
        <v>0</v>
      </c>
      <c r="V20" t="s">
        <v>141</v>
      </c>
      <c r="W20">
        <v>0</v>
      </c>
      <c r="X20">
        <v>0</v>
      </c>
      <c r="Y20">
        <v>0</v>
      </c>
      <c r="Z20" t="s">
        <v>54</v>
      </c>
      <c r="AA20">
        <v>0</v>
      </c>
      <c r="AB20">
        <v>1</v>
      </c>
      <c r="AC20">
        <v>0</v>
      </c>
      <c r="AD20">
        <v>0</v>
      </c>
      <c r="AE20">
        <v>1</v>
      </c>
      <c r="AF20">
        <v>0</v>
      </c>
      <c r="AG20" t="s">
        <v>169</v>
      </c>
    </row>
    <row r="21" spans="1:33" x14ac:dyDescent="0.2">
      <c r="A21" t="s">
        <v>66</v>
      </c>
      <c r="B21" t="s">
        <v>41</v>
      </c>
      <c r="C21" t="s">
        <v>42</v>
      </c>
      <c r="D21">
        <v>2</v>
      </c>
      <c r="E21" t="s">
        <v>67</v>
      </c>
      <c r="F21">
        <v>6721</v>
      </c>
      <c r="G21" t="s">
        <v>68</v>
      </c>
      <c r="H21" t="s">
        <v>69</v>
      </c>
      <c r="I21">
        <v>1</v>
      </c>
      <c r="J21">
        <v>0</v>
      </c>
      <c r="K21">
        <v>1</v>
      </c>
      <c r="L21" t="s">
        <v>46</v>
      </c>
      <c r="M21" t="s">
        <v>47</v>
      </c>
      <c r="N21" t="s">
        <v>47</v>
      </c>
      <c r="O21">
        <v>0</v>
      </c>
      <c r="P21">
        <v>0</v>
      </c>
      <c r="Q21">
        <v>0</v>
      </c>
      <c r="S21">
        <v>0</v>
      </c>
      <c r="U21">
        <v>0</v>
      </c>
      <c r="V21" t="s">
        <v>46</v>
      </c>
      <c r="W21">
        <v>2</v>
      </c>
      <c r="X21">
        <v>0</v>
      </c>
      <c r="Y21">
        <v>0</v>
      </c>
      <c r="Z21" t="s">
        <v>54</v>
      </c>
      <c r="AA21">
        <v>0</v>
      </c>
      <c r="AB21">
        <v>2</v>
      </c>
      <c r="AC21">
        <v>1</v>
      </c>
      <c r="AD21">
        <v>1</v>
      </c>
      <c r="AE21">
        <v>0</v>
      </c>
      <c r="AF21">
        <v>0</v>
      </c>
    </row>
    <row r="22" spans="1:33" x14ac:dyDescent="0.2">
      <c r="A22" t="s">
        <v>66</v>
      </c>
      <c r="B22" t="s">
        <v>41</v>
      </c>
      <c r="C22" t="s">
        <v>42</v>
      </c>
      <c r="D22">
        <v>3</v>
      </c>
      <c r="E22" t="s">
        <v>67</v>
      </c>
      <c r="F22">
        <v>3865</v>
      </c>
      <c r="G22" t="s">
        <v>106</v>
      </c>
      <c r="H22" t="s">
        <v>47</v>
      </c>
      <c r="I22">
        <v>0</v>
      </c>
      <c r="J22">
        <v>0</v>
      </c>
      <c r="K22">
        <v>0</v>
      </c>
      <c r="L22" t="s">
        <v>46</v>
      </c>
      <c r="M22" t="s">
        <v>47</v>
      </c>
      <c r="N22" t="s">
        <v>47</v>
      </c>
      <c r="O22">
        <v>0</v>
      </c>
      <c r="P22">
        <v>0</v>
      </c>
      <c r="Q22">
        <v>0</v>
      </c>
      <c r="S22">
        <v>0</v>
      </c>
      <c r="T22">
        <v>0</v>
      </c>
      <c r="U22">
        <v>0</v>
      </c>
      <c r="V22" t="s">
        <v>46</v>
      </c>
      <c r="W22">
        <v>1</v>
      </c>
      <c r="X22">
        <v>0</v>
      </c>
      <c r="Y22">
        <v>0</v>
      </c>
      <c r="Z22" t="s">
        <v>54</v>
      </c>
      <c r="AA22">
        <v>1</v>
      </c>
      <c r="AB22">
        <v>1</v>
      </c>
      <c r="AC22">
        <v>1</v>
      </c>
      <c r="AD22">
        <v>0</v>
      </c>
      <c r="AE22">
        <v>0</v>
      </c>
      <c r="AF22">
        <v>0</v>
      </c>
      <c r="AG22" t="s">
        <v>107</v>
      </c>
    </row>
    <row r="23" spans="1:33" x14ac:dyDescent="0.2">
      <c r="A23" t="s">
        <v>40</v>
      </c>
      <c r="B23" t="s">
        <v>41</v>
      </c>
      <c r="C23" t="s">
        <v>42</v>
      </c>
      <c r="D23">
        <v>3</v>
      </c>
      <c r="E23" t="s">
        <v>43</v>
      </c>
      <c r="F23">
        <v>2867</v>
      </c>
      <c r="G23" t="s">
        <v>44</v>
      </c>
      <c r="H23" t="s">
        <v>108</v>
      </c>
      <c r="I23">
        <v>1</v>
      </c>
      <c r="J23">
        <v>0</v>
      </c>
      <c r="K23">
        <v>0</v>
      </c>
      <c r="L23" t="s">
        <v>46</v>
      </c>
      <c r="M23" t="s">
        <v>47</v>
      </c>
      <c r="N23" t="s">
        <v>45</v>
      </c>
      <c r="O23">
        <v>0</v>
      </c>
      <c r="P23">
        <v>0</v>
      </c>
      <c r="Q23">
        <v>0</v>
      </c>
      <c r="S23">
        <v>1</v>
      </c>
      <c r="T23">
        <v>3</v>
      </c>
      <c r="U23">
        <v>0</v>
      </c>
      <c r="V23" t="s">
        <v>60</v>
      </c>
      <c r="W23">
        <v>2</v>
      </c>
      <c r="X23">
        <v>1</v>
      </c>
      <c r="Y23">
        <v>1</v>
      </c>
      <c r="Z23" t="s">
        <v>46</v>
      </c>
      <c r="AA23">
        <v>1</v>
      </c>
      <c r="AB23">
        <v>3</v>
      </c>
      <c r="AC23">
        <v>0</v>
      </c>
      <c r="AD23">
        <v>0</v>
      </c>
      <c r="AE23">
        <v>0</v>
      </c>
      <c r="AF23">
        <v>0</v>
      </c>
      <c r="AG23" t="s">
        <v>109</v>
      </c>
    </row>
    <row r="24" spans="1:33" x14ac:dyDescent="0.2">
      <c r="A24" t="s">
        <v>110</v>
      </c>
      <c r="B24" t="s">
        <v>41</v>
      </c>
      <c r="C24" t="s">
        <v>42</v>
      </c>
      <c r="D24">
        <v>3</v>
      </c>
      <c r="E24" t="s">
        <v>85</v>
      </c>
      <c r="F24">
        <v>328</v>
      </c>
      <c r="G24" t="s">
        <v>68</v>
      </c>
      <c r="H24" t="s">
        <v>47</v>
      </c>
      <c r="I24">
        <v>0</v>
      </c>
      <c r="J24">
        <v>0</v>
      </c>
      <c r="K24">
        <v>0</v>
      </c>
      <c r="L24" t="s">
        <v>49</v>
      </c>
      <c r="M24" t="s">
        <v>47</v>
      </c>
      <c r="N24" t="s">
        <v>111</v>
      </c>
      <c r="O24">
        <v>0</v>
      </c>
      <c r="P24">
        <v>0</v>
      </c>
      <c r="Q24">
        <v>0</v>
      </c>
      <c r="S24">
        <v>1</v>
      </c>
      <c r="T24">
        <v>3</v>
      </c>
      <c r="U24">
        <v>0</v>
      </c>
      <c r="V24" t="s">
        <v>60</v>
      </c>
      <c r="W24">
        <v>0</v>
      </c>
      <c r="X24">
        <v>1</v>
      </c>
      <c r="Y24">
        <v>1</v>
      </c>
      <c r="Z24" t="s">
        <v>46</v>
      </c>
      <c r="AA24">
        <v>0</v>
      </c>
      <c r="AB24">
        <v>4</v>
      </c>
      <c r="AC24">
        <v>0</v>
      </c>
      <c r="AD24">
        <v>0</v>
      </c>
      <c r="AE24">
        <v>0</v>
      </c>
      <c r="AF24">
        <v>0</v>
      </c>
    </row>
    <row r="25" spans="1:33" x14ac:dyDescent="0.2">
      <c r="A25" t="s">
        <v>100</v>
      </c>
      <c r="B25" t="s">
        <v>41</v>
      </c>
      <c r="C25" t="s">
        <v>42</v>
      </c>
      <c r="D25">
        <v>3</v>
      </c>
      <c r="E25" t="s">
        <v>85</v>
      </c>
      <c r="F25">
        <v>328</v>
      </c>
      <c r="G25" t="s">
        <v>68</v>
      </c>
      <c r="H25" t="s">
        <v>87</v>
      </c>
      <c r="I25">
        <v>0</v>
      </c>
      <c r="J25">
        <v>0</v>
      </c>
      <c r="K25">
        <v>1</v>
      </c>
      <c r="L25" t="s">
        <v>53</v>
      </c>
      <c r="M25" t="s">
        <v>47</v>
      </c>
      <c r="N25" t="s">
        <v>115</v>
      </c>
      <c r="O25">
        <v>0</v>
      </c>
      <c r="P25">
        <v>0</v>
      </c>
      <c r="Q25">
        <v>0</v>
      </c>
      <c r="S25">
        <v>1</v>
      </c>
      <c r="T25">
        <v>3</v>
      </c>
      <c r="U25">
        <v>3.6</v>
      </c>
      <c r="V25" t="s">
        <v>60</v>
      </c>
      <c r="W25">
        <v>1</v>
      </c>
      <c r="X25">
        <v>2</v>
      </c>
      <c r="Y25">
        <v>0</v>
      </c>
      <c r="Z25" t="s">
        <v>49</v>
      </c>
      <c r="AA25">
        <v>0</v>
      </c>
      <c r="AB25">
        <v>4</v>
      </c>
      <c r="AC25">
        <v>0</v>
      </c>
      <c r="AD25">
        <v>0</v>
      </c>
      <c r="AE25">
        <v>0</v>
      </c>
      <c r="AF25">
        <v>1</v>
      </c>
      <c r="AG25" t="s">
        <v>116</v>
      </c>
    </row>
    <row r="26" spans="1:33" x14ac:dyDescent="0.2">
      <c r="A26" t="s">
        <v>76</v>
      </c>
      <c r="B26" t="s">
        <v>41</v>
      </c>
      <c r="C26" t="s">
        <v>42</v>
      </c>
      <c r="D26">
        <v>3</v>
      </c>
      <c r="E26" t="s">
        <v>43</v>
      </c>
      <c r="F26">
        <v>2867</v>
      </c>
      <c r="G26" t="s">
        <v>44</v>
      </c>
      <c r="H26" t="s">
        <v>108</v>
      </c>
      <c r="I26">
        <v>0</v>
      </c>
      <c r="J26">
        <v>0</v>
      </c>
      <c r="K26">
        <v>1</v>
      </c>
      <c r="L26" t="s">
        <v>46</v>
      </c>
      <c r="M26" t="s">
        <v>47</v>
      </c>
      <c r="N26" t="s">
        <v>117</v>
      </c>
      <c r="O26">
        <v>0</v>
      </c>
      <c r="P26">
        <v>0</v>
      </c>
      <c r="Q26">
        <v>0</v>
      </c>
      <c r="S26">
        <v>0</v>
      </c>
      <c r="T26">
        <v>3</v>
      </c>
      <c r="U26">
        <v>0</v>
      </c>
      <c r="V26" t="s">
        <v>60</v>
      </c>
      <c r="W26">
        <v>2</v>
      </c>
      <c r="X26">
        <v>2</v>
      </c>
      <c r="Y26">
        <v>3</v>
      </c>
      <c r="Z26" t="s">
        <v>46</v>
      </c>
      <c r="AA26">
        <v>0</v>
      </c>
      <c r="AB26">
        <v>3</v>
      </c>
      <c r="AC26">
        <v>0</v>
      </c>
      <c r="AD26">
        <v>0</v>
      </c>
      <c r="AE26">
        <v>0</v>
      </c>
      <c r="AF26">
        <v>0</v>
      </c>
      <c r="AG26" t="s">
        <v>118</v>
      </c>
    </row>
    <row r="27" spans="1:33" x14ac:dyDescent="0.2">
      <c r="A27" t="s">
        <v>80</v>
      </c>
      <c r="B27" t="s">
        <v>41</v>
      </c>
      <c r="C27" t="s">
        <v>42</v>
      </c>
      <c r="D27">
        <v>3</v>
      </c>
      <c r="E27" t="s">
        <v>81</v>
      </c>
      <c r="F27">
        <v>910</v>
      </c>
      <c r="G27" t="s">
        <v>71</v>
      </c>
      <c r="H27" t="s">
        <v>47</v>
      </c>
      <c r="I27">
        <v>0</v>
      </c>
      <c r="J27">
        <v>0</v>
      </c>
      <c r="K27">
        <v>0</v>
      </c>
      <c r="L27" t="s">
        <v>46</v>
      </c>
      <c r="M27" t="s">
        <v>47</v>
      </c>
      <c r="N27" t="s">
        <v>47</v>
      </c>
      <c r="O27">
        <v>0</v>
      </c>
      <c r="P27">
        <v>0</v>
      </c>
      <c r="Q27">
        <v>0</v>
      </c>
      <c r="S27">
        <v>0</v>
      </c>
      <c r="U27">
        <v>0</v>
      </c>
      <c r="V27" t="s">
        <v>46</v>
      </c>
      <c r="W27">
        <v>1</v>
      </c>
      <c r="X27">
        <v>-1</v>
      </c>
      <c r="Y27">
        <v>0</v>
      </c>
      <c r="Z27" t="s">
        <v>46</v>
      </c>
      <c r="AA27">
        <v>0</v>
      </c>
      <c r="AB27">
        <v>3</v>
      </c>
      <c r="AC27">
        <v>1</v>
      </c>
      <c r="AD27">
        <v>0</v>
      </c>
      <c r="AE27">
        <v>0</v>
      </c>
      <c r="AF27">
        <v>0</v>
      </c>
      <c r="AG27" t="s">
        <v>119</v>
      </c>
    </row>
    <row r="28" spans="1:33" x14ac:dyDescent="0.2">
      <c r="A28" t="s">
        <v>120</v>
      </c>
      <c r="B28" t="s">
        <v>41</v>
      </c>
      <c r="C28" t="s">
        <v>42</v>
      </c>
      <c r="D28">
        <v>3</v>
      </c>
      <c r="E28" t="s">
        <v>63</v>
      </c>
      <c r="F28">
        <v>2197</v>
      </c>
      <c r="G28" t="s">
        <v>78</v>
      </c>
      <c r="H28" t="s">
        <v>47</v>
      </c>
      <c r="I28">
        <v>0</v>
      </c>
      <c r="J28">
        <v>1</v>
      </c>
      <c r="K28">
        <v>0</v>
      </c>
      <c r="L28" t="s">
        <v>53</v>
      </c>
      <c r="M28" t="s">
        <v>47</v>
      </c>
      <c r="N28" t="s">
        <v>47</v>
      </c>
      <c r="O28">
        <v>3</v>
      </c>
      <c r="P28">
        <v>0</v>
      </c>
      <c r="Q28">
        <v>0</v>
      </c>
      <c r="S28">
        <v>0</v>
      </c>
      <c r="T28">
        <v>1</v>
      </c>
      <c r="U28">
        <v>15</v>
      </c>
      <c r="V28" t="s">
        <v>60</v>
      </c>
      <c r="W28">
        <v>2</v>
      </c>
      <c r="X28">
        <v>2</v>
      </c>
      <c r="Y28">
        <v>0</v>
      </c>
      <c r="Z28" t="s">
        <v>46</v>
      </c>
      <c r="AA28">
        <v>1</v>
      </c>
      <c r="AB28">
        <v>4</v>
      </c>
      <c r="AC28">
        <v>0</v>
      </c>
      <c r="AD28">
        <v>0</v>
      </c>
      <c r="AE28">
        <v>0</v>
      </c>
      <c r="AF28">
        <v>1</v>
      </c>
      <c r="AG28" t="s">
        <v>121</v>
      </c>
    </row>
    <row r="29" spans="1:33" x14ac:dyDescent="0.2">
      <c r="A29" t="s">
        <v>112</v>
      </c>
      <c r="B29" t="s">
        <v>41</v>
      </c>
      <c r="C29" t="s">
        <v>42</v>
      </c>
      <c r="D29">
        <v>3</v>
      </c>
      <c r="E29" t="s">
        <v>67</v>
      </c>
      <c r="F29">
        <v>3865</v>
      </c>
      <c r="G29" t="s">
        <v>106</v>
      </c>
      <c r="H29" t="s">
        <v>47</v>
      </c>
      <c r="I29">
        <v>0</v>
      </c>
      <c r="J29">
        <v>0</v>
      </c>
      <c r="K29">
        <v>1</v>
      </c>
      <c r="L29" t="s">
        <v>46</v>
      </c>
      <c r="M29" t="s">
        <v>113</v>
      </c>
      <c r="N29" t="s">
        <v>47</v>
      </c>
      <c r="O29">
        <v>0</v>
      </c>
      <c r="P29">
        <v>0</v>
      </c>
      <c r="Q29">
        <v>0</v>
      </c>
      <c r="S29">
        <v>0</v>
      </c>
      <c r="T29">
        <v>0</v>
      </c>
      <c r="U29">
        <v>0</v>
      </c>
      <c r="V29" t="s">
        <v>46</v>
      </c>
      <c r="W29">
        <v>1</v>
      </c>
      <c r="X29">
        <v>0</v>
      </c>
      <c r="Y29">
        <v>0</v>
      </c>
      <c r="Z29" t="s">
        <v>54</v>
      </c>
      <c r="AA29">
        <v>0</v>
      </c>
      <c r="AB29">
        <v>1</v>
      </c>
      <c r="AC29">
        <v>1</v>
      </c>
      <c r="AD29">
        <v>0</v>
      </c>
      <c r="AE29">
        <v>1</v>
      </c>
      <c r="AF29">
        <v>0</v>
      </c>
      <c r="AG29" t="s">
        <v>114</v>
      </c>
    </row>
    <row r="30" spans="1:33" x14ac:dyDescent="0.2">
      <c r="A30" t="s">
        <v>50</v>
      </c>
      <c r="B30" t="s">
        <v>41</v>
      </c>
      <c r="C30" t="s">
        <v>42</v>
      </c>
      <c r="D30">
        <v>3</v>
      </c>
      <c r="E30" t="s">
        <v>51</v>
      </c>
      <c r="F30">
        <v>9208</v>
      </c>
      <c r="G30" t="s">
        <v>56</v>
      </c>
      <c r="H30" t="s">
        <v>93</v>
      </c>
      <c r="I30">
        <v>0</v>
      </c>
      <c r="J30">
        <v>0</v>
      </c>
      <c r="K30">
        <v>0</v>
      </c>
      <c r="L30" t="s">
        <v>46</v>
      </c>
      <c r="M30" t="s">
        <v>103</v>
      </c>
      <c r="N30" t="s">
        <v>104</v>
      </c>
      <c r="O30">
        <v>0</v>
      </c>
      <c r="P30">
        <v>1</v>
      </c>
      <c r="Q30">
        <v>0</v>
      </c>
      <c r="S30">
        <v>1</v>
      </c>
      <c r="T30">
        <v>0</v>
      </c>
      <c r="U30">
        <v>0</v>
      </c>
      <c r="V30" t="s">
        <v>46</v>
      </c>
      <c r="W30">
        <v>2</v>
      </c>
      <c r="X30">
        <v>1</v>
      </c>
      <c r="Y30">
        <v>1</v>
      </c>
      <c r="Z30" t="s">
        <v>46</v>
      </c>
      <c r="AA30">
        <v>1</v>
      </c>
      <c r="AB30">
        <v>4</v>
      </c>
      <c r="AC30">
        <v>0</v>
      </c>
      <c r="AD30">
        <v>1</v>
      </c>
      <c r="AE30">
        <v>0</v>
      </c>
      <c r="AF30">
        <v>0</v>
      </c>
      <c r="AG30" t="s">
        <v>105</v>
      </c>
    </row>
    <row r="31" spans="1:33" x14ac:dyDescent="0.2">
      <c r="A31" t="s">
        <v>167</v>
      </c>
      <c r="B31" t="s">
        <v>41</v>
      </c>
      <c r="C31" t="s">
        <v>42</v>
      </c>
      <c r="D31">
        <v>3</v>
      </c>
      <c r="E31" t="s">
        <v>63</v>
      </c>
      <c r="F31">
        <v>2197</v>
      </c>
      <c r="G31" t="s">
        <v>78</v>
      </c>
      <c r="H31" t="s">
        <v>170</v>
      </c>
      <c r="I31">
        <v>0</v>
      </c>
      <c r="J31">
        <v>0</v>
      </c>
      <c r="K31">
        <v>0</v>
      </c>
      <c r="L31" t="s">
        <v>53</v>
      </c>
      <c r="M31" t="s">
        <v>171</v>
      </c>
      <c r="N31" t="s">
        <v>172</v>
      </c>
      <c r="O31">
        <v>2</v>
      </c>
      <c r="P31">
        <v>1</v>
      </c>
      <c r="Q31">
        <v>0</v>
      </c>
      <c r="S31">
        <v>1</v>
      </c>
      <c r="T31">
        <v>0</v>
      </c>
      <c r="U31">
        <v>14.7</v>
      </c>
      <c r="V31" t="s">
        <v>60</v>
      </c>
      <c r="W31">
        <v>2</v>
      </c>
      <c r="X31">
        <v>1</v>
      </c>
      <c r="Y31">
        <v>0</v>
      </c>
      <c r="Z31" t="s">
        <v>49</v>
      </c>
      <c r="AA31">
        <v>0</v>
      </c>
      <c r="AB31">
        <v>3</v>
      </c>
      <c r="AC31">
        <v>0</v>
      </c>
      <c r="AD31">
        <v>1</v>
      </c>
      <c r="AE31">
        <v>1</v>
      </c>
      <c r="AF31">
        <v>1</v>
      </c>
      <c r="AG31" t="s">
        <v>173</v>
      </c>
    </row>
    <row r="32" spans="1:33" x14ac:dyDescent="0.2">
      <c r="A32" t="s">
        <v>66</v>
      </c>
      <c r="B32" t="s">
        <v>41</v>
      </c>
      <c r="C32" t="s">
        <v>42</v>
      </c>
      <c r="D32">
        <v>4</v>
      </c>
      <c r="E32" t="s">
        <v>67</v>
      </c>
      <c r="F32">
        <v>45</v>
      </c>
      <c r="G32" t="s">
        <v>106</v>
      </c>
      <c r="H32" t="s">
        <v>47</v>
      </c>
      <c r="I32">
        <v>1</v>
      </c>
      <c r="J32">
        <v>0</v>
      </c>
      <c r="K32">
        <v>1</v>
      </c>
      <c r="L32" t="s">
        <v>46</v>
      </c>
      <c r="M32" t="s">
        <v>47</v>
      </c>
      <c r="N32" t="s">
        <v>87</v>
      </c>
      <c r="O32">
        <v>0</v>
      </c>
      <c r="P32">
        <v>1</v>
      </c>
      <c r="Q32">
        <v>0</v>
      </c>
      <c r="S32">
        <v>0</v>
      </c>
      <c r="T32">
        <v>0</v>
      </c>
      <c r="U32">
        <v>0</v>
      </c>
      <c r="V32" t="s">
        <v>60</v>
      </c>
      <c r="W32">
        <v>2</v>
      </c>
      <c r="X32">
        <v>0</v>
      </c>
      <c r="Y32">
        <v>0</v>
      </c>
      <c r="Z32" t="s">
        <v>54</v>
      </c>
      <c r="AA32">
        <v>0</v>
      </c>
      <c r="AB32">
        <v>4</v>
      </c>
      <c r="AC32">
        <v>0</v>
      </c>
      <c r="AD32">
        <v>0</v>
      </c>
      <c r="AE32">
        <v>1</v>
      </c>
      <c r="AF32">
        <v>0</v>
      </c>
      <c r="AG32" t="s">
        <v>124</v>
      </c>
    </row>
    <row r="33" spans="1:33" x14ac:dyDescent="0.2">
      <c r="A33" t="s">
        <v>76</v>
      </c>
      <c r="B33" t="s">
        <v>41</v>
      </c>
      <c r="C33" t="s">
        <v>42</v>
      </c>
      <c r="D33">
        <v>4</v>
      </c>
      <c r="E33" t="s">
        <v>43</v>
      </c>
      <c r="F33">
        <v>1747</v>
      </c>
      <c r="G33" t="s">
        <v>44</v>
      </c>
      <c r="H33" t="s">
        <v>47</v>
      </c>
      <c r="I33">
        <v>0</v>
      </c>
      <c r="J33">
        <v>0</v>
      </c>
      <c r="K33">
        <v>0</v>
      </c>
      <c r="L33" t="s">
        <v>46</v>
      </c>
      <c r="M33" t="s">
        <v>47</v>
      </c>
      <c r="N33" t="s">
        <v>122</v>
      </c>
      <c r="O33">
        <v>0</v>
      </c>
      <c r="P33">
        <v>0</v>
      </c>
      <c r="Q33">
        <v>0</v>
      </c>
      <c r="S33">
        <v>0</v>
      </c>
      <c r="U33">
        <v>0</v>
      </c>
      <c r="V33" t="s">
        <v>46</v>
      </c>
      <c r="W33">
        <v>0</v>
      </c>
      <c r="X33">
        <v>1</v>
      </c>
      <c r="Y33">
        <v>0</v>
      </c>
      <c r="Z33" t="s">
        <v>46</v>
      </c>
      <c r="AA33">
        <v>0</v>
      </c>
      <c r="AB33">
        <v>3</v>
      </c>
      <c r="AC33">
        <v>1</v>
      </c>
      <c r="AD33">
        <v>0</v>
      </c>
      <c r="AE33">
        <v>0</v>
      </c>
      <c r="AF33">
        <v>0</v>
      </c>
      <c r="AG33" t="s">
        <v>123</v>
      </c>
    </row>
    <row r="34" spans="1:33" x14ac:dyDescent="0.2">
      <c r="A34" t="s">
        <v>112</v>
      </c>
      <c r="B34" t="s">
        <v>41</v>
      </c>
      <c r="C34" t="s">
        <v>42</v>
      </c>
      <c r="D34">
        <v>4</v>
      </c>
      <c r="E34" t="s">
        <v>67</v>
      </c>
      <c r="F34">
        <v>1024</v>
      </c>
      <c r="G34" t="s">
        <v>72</v>
      </c>
      <c r="H34" t="s">
        <v>47</v>
      </c>
      <c r="I34">
        <v>1</v>
      </c>
      <c r="J34">
        <v>1</v>
      </c>
      <c r="K34">
        <v>1</v>
      </c>
      <c r="L34" t="s">
        <v>53</v>
      </c>
      <c r="M34" t="s">
        <v>125</v>
      </c>
      <c r="N34" t="s">
        <v>126</v>
      </c>
      <c r="O34">
        <v>0</v>
      </c>
      <c r="P34">
        <v>0</v>
      </c>
      <c r="Q34">
        <v>0</v>
      </c>
      <c r="S34">
        <v>1</v>
      </c>
      <c r="T34">
        <v>3</v>
      </c>
      <c r="U34">
        <v>3.4</v>
      </c>
      <c r="V34" t="s">
        <v>60</v>
      </c>
      <c r="W34">
        <v>3</v>
      </c>
      <c r="X34">
        <v>2</v>
      </c>
      <c r="Y34">
        <v>2</v>
      </c>
      <c r="Z34" t="s">
        <v>46</v>
      </c>
      <c r="AA34">
        <v>1</v>
      </c>
      <c r="AB34">
        <v>4</v>
      </c>
      <c r="AC34">
        <v>0</v>
      </c>
      <c r="AD34">
        <v>0</v>
      </c>
      <c r="AE34">
        <v>0</v>
      </c>
      <c r="AF34">
        <v>1</v>
      </c>
      <c r="AG34" t="s">
        <v>127</v>
      </c>
    </row>
    <row r="35" spans="1:33" x14ac:dyDescent="0.2">
      <c r="A35" t="s">
        <v>128</v>
      </c>
      <c r="B35" t="s">
        <v>41</v>
      </c>
      <c r="C35" t="s">
        <v>42</v>
      </c>
      <c r="D35">
        <v>4</v>
      </c>
      <c r="E35" t="s">
        <v>85</v>
      </c>
      <c r="F35">
        <v>1024</v>
      </c>
      <c r="G35" t="s">
        <v>68</v>
      </c>
      <c r="H35" t="s">
        <v>129</v>
      </c>
      <c r="I35">
        <v>1</v>
      </c>
      <c r="J35">
        <v>1</v>
      </c>
      <c r="K35">
        <v>1</v>
      </c>
      <c r="L35" t="s">
        <v>53</v>
      </c>
      <c r="M35" t="s">
        <v>130</v>
      </c>
      <c r="N35" t="s">
        <v>131</v>
      </c>
      <c r="O35">
        <v>0</v>
      </c>
      <c r="P35">
        <v>0</v>
      </c>
      <c r="Q35">
        <v>0</v>
      </c>
      <c r="S35">
        <v>1</v>
      </c>
      <c r="T35">
        <v>3</v>
      </c>
      <c r="U35">
        <v>0.5</v>
      </c>
      <c r="V35" t="s">
        <v>53</v>
      </c>
      <c r="W35">
        <v>2</v>
      </c>
      <c r="X35">
        <v>2</v>
      </c>
      <c r="Y35">
        <v>2</v>
      </c>
      <c r="Z35" t="s">
        <v>46</v>
      </c>
      <c r="AA35">
        <v>1</v>
      </c>
      <c r="AB35">
        <v>4</v>
      </c>
      <c r="AC35">
        <v>0</v>
      </c>
      <c r="AD35">
        <v>0</v>
      </c>
      <c r="AE35">
        <v>0</v>
      </c>
      <c r="AF35">
        <v>1</v>
      </c>
      <c r="AG35" t="s">
        <v>127</v>
      </c>
    </row>
    <row r="36" spans="1:33" x14ac:dyDescent="0.2">
      <c r="A36" t="s">
        <v>80</v>
      </c>
      <c r="B36" t="s">
        <v>41</v>
      </c>
      <c r="C36" t="s">
        <v>42</v>
      </c>
      <c r="D36">
        <v>4</v>
      </c>
      <c r="E36" t="s">
        <v>81</v>
      </c>
      <c r="F36">
        <v>910</v>
      </c>
      <c r="G36" t="s">
        <v>71</v>
      </c>
      <c r="H36" t="s">
        <v>47</v>
      </c>
      <c r="I36">
        <v>1</v>
      </c>
      <c r="J36">
        <v>0</v>
      </c>
      <c r="K36">
        <v>1</v>
      </c>
      <c r="L36" t="s">
        <v>46</v>
      </c>
      <c r="M36" t="s">
        <v>132</v>
      </c>
      <c r="N36" t="s">
        <v>133</v>
      </c>
      <c r="O36">
        <v>0</v>
      </c>
      <c r="P36">
        <v>1</v>
      </c>
      <c r="Q36">
        <v>0</v>
      </c>
      <c r="S36">
        <v>0</v>
      </c>
      <c r="T36">
        <v>0</v>
      </c>
      <c r="U36">
        <v>0</v>
      </c>
      <c r="V36" t="s">
        <v>49</v>
      </c>
      <c r="W36">
        <v>2</v>
      </c>
      <c r="X36">
        <v>1</v>
      </c>
      <c r="Y36">
        <v>0</v>
      </c>
      <c r="Z36" t="s">
        <v>46</v>
      </c>
      <c r="AA36">
        <v>0</v>
      </c>
      <c r="AB36">
        <v>4</v>
      </c>
      <c r="AC36">
        <v>0</v>
      </c>
      <c r="AD36">
        <v>0</v>
      </c>
      <c r="AE36">
        <v>0</v>
      </c>
      <c r="AF36">
        <v>0</v>
      </c>
      <c r="AG36" t="s">
        <v>127</v>
      </c>
    </row>
    <row r="37" spans="1:33" x14ac:dyDescent="0.2">
      <c r="A37" t="s">
        <v>40</v>
      </c>
      <c r="B37" t="s">
        <v>41</v>
      </c>
      <c r="C37" t="s">
        <v>42</v>
      </c>
      <c r="D37">
        <v>4</v>
      </c>
      <c r="E37" t="s">
        <v>43</v>
      </c>
      <c r="F37">
        <v>1747</v>
      </c>
      <c r="G37" t="s">
        <v>44</v>
      </c>
      <c r="H37" t="s">
        <v>47</v>
      </c>
      <c r="I37">
        <v>0</v>
      </c>
      <c r="J37">
        <v>0</v>
      </c>
      <c r="K37">
        <v>0</v>
      </c>
      <c r="L37" t="s">
        <v>46</v>
      </c>
      <c r="M37" t="s">
        <v>47</v>
      </c>
      <c r="N37" t="s">
        <v>134</v>
      </c>
      <c r="O37">
        <v>0</v>
      </c>
      <c r="P37">
        <v>0</v>
      </c>
      <c r="Q37">
        <v>0</v>
      </c>
      <c r="S37">
        <v>0</v>
      </c>
      <c r="T37">
        <v>0</v>
      </c>
      <c r="U37">
        <v>0</v>
      </c>
      <c r="V37" t="s">
        <v>46</v>
      </c>
      <c r="W37">
        <v>0</v>
      </c>
      <c r="X37">
        <v>0</v>
      </c>
      <c r="Y37">
        <v>1</v>
      </c>
      <c r="Z37" t="s">
        <v>46</v>
      </c>
      <c r="AA37">
        <v>1</v>
      </c>
      <c r="AB37">
        <v>3</v>
      </c>
      <c r="AC37">
        <v>0</v>
      </c>
      <c r="AD37">
        <v>0</v>
      </c>
      <c r="AE37">
        <v>0</v>
      </c>
      <c r="AF37">
        <v>0</v>
      </c>
    </row>
    <row r="38" spans="1:33" x14ac:dyDescent="0.2">
      <c r="A38" t="s">
        <v>135</v>
      </c>
      <c r="B38" t="s">
        <v>41</v>
      </c>
      <c r="C38" t="s">
        <v>42</v>
      </c>
      <c r="D38">
        <v>4</v>
      </c>
      <c r="E38" t="s">
        <v>85</v>
      </c>
      <c r="F38">
        <v>1024</v>
      </c>
      <c r="G38" t="s">
        <v>78</v>
      </c>
      <c r="H38" t="s">
        <v>47</v>
      </c>
      <c r="I38">
        <v>0</v>
      </c>
      <c r="J38">
        <v>0</v>
      </c>
      <c r="K38">
        <v>0</v>
      </c>
      <c r="L38" t="s">
        <v>60</v>
      </c>
      <c r="M38" t="s">
        <v>47</v>
      </c>
      <c r="N38" t="s">
        <v>126</v>
      </c>
      <c r="O38">
        <v>0</v>
      </c>
      <c r="P38">
        <v>0</v>
      </c>
      <c r="Q38">
        <v>0</v>
      </c>
      <c r="S38">
        <v>1</v>
      </c>
      <c r="T38">
        <v>3</v>
      </c>
      <c r="U38">
        <v>6.3</v>
      </c>
      <c r="V38" t="s">
        <v>60</v>
      </c>
      <c r="W38">
        <v>2</v>
      </c>
      <c r="X38">
        <v>2</v>
      </c>
      <c r="Y38">
        <v>1</v>
      </c>
      <c r="Z38" t="s">
        <v>49</v>
      </c>
      <c r="AA38">
        <v>1</v>
      </c>
      <c r="AB38">
        <v>5</v>
      </c>
      <c r="AC38">
        <v>0</v>
      </c>
      <c r="AD38">
        <v>0</v>
      </c>
      <c r="AE38">
        <v>0</v>
      </c>
      <c r="AF38">
        <v>1</v>
      </c>
      <c r="AG38" t="s">
        <v>136</v>
      </c>
    </row>
    <row r="39" spans="1:33" x14ac:dyDescent="0.2">
      <c r="A39" t="s">
        <v>137</v>
      </c>
      <c r="B39" t="s">
        <v>41</v>
      </c>
      <c r="C39" t="s">
        <v>42</v>
      </c>
      <c r="D39">
        <v>4</v>
      </c>
      <c r="E39" t="s">
        <v>81</v>
      </c>
      <c r="F39">
        <v>910</v>
      </c>
      <c r="G39" t="s">
        <v>44</v>
      </c>
      <c r="H39" t="s">
        <v>47</v>
      </c>
      <c r="I39">
        <v>1</v>
      </c>
      <c r="J39">
        <v>0</v>
      </c>
      <c r="K39">
        <v>0</v>
      </c>
      <c r="L39" t="s">
        <v>46</v>
      </c>
      <c r="M39" t="s">
        <v>138</v>
      </c>
      <c r="N39" t="s">
        <v>139</v>
      </c>
      <c r="O39">
        <v>0</v>
      </c>
      <c r="P39">
        <v>1</v>
      </c>
      <c r="Q39">
        <v>0</v>
      </c>
      <c r="S39">
        <v>0</v>
      </c>
      <c r="T39">
        <v>0</v>
      </c>
      <c r="U39">
        <v>18.399999999999999</v>
      </c>
      <c r="V39" t="s">
        <v>49</v>
      </c>
      <c r="W39">
        <v>2</v>
      </c>
      <c r="X39">
        <v>1</v>
      </c>
      <c r="Y39">
        <v>0</v>
      </c>
      <c r="Z39" t="s">
        <v>49</v>
      </c>
      <c r="AA39">
        <v>1</v>
      </c>
      <c r="AB39">
        <v>3</v>
      </c>
      <c r="AC39">
        <v>0</v>
      </c>
      <c r="AD39">
        <v>0</v>
      </c>
      <c r="AE39">
        <v>0</v>
      </c>
      <c r="AF39">
        <v>1</v>
      </c>
    </row>
    <row r="40" spans="1:33" x14ac:dyDescent="0.2">
      <c r="A40" t="s">
        <v>140</v>
      </c>
      <c r="B40" t="s">
        <v>41</v>
      </c>
      <c r="C40" t="s">
        <v>42</v>
      </c>
      <c r="D40">
        <v>4</v>
      </c>
      <c r="E40" t="s">
        <v>63</v>
      </c>
      <c r="F40">
        <v>9071</v>
      </c>
      <c r="G40" t="s">
        <v>56</v>
      </c>
      <c r="H40" t="s">
        <v>47</v>
      </c>
      <c r="I40">
        <v>0</v>
      </c>
      <c r="J40">
        <v>0</v>
      </c>
      <c r="K40">
        <v>1</v>
      </c>
      <c r="L40" t="s">
        <v>46</v>
      </c>
      <c r="M40" t="s">
        <v>47</v>
      </c>
      <c r="N40" t="s">
        <v>47</v>
      </c>
      <c r="O40">
        <v>0</v>
      </c>
      <c r="P40">
        <v>0</v>
      </c>
      <c r="Q40">
        <v>0</v>
      </c>
      <c r="S40">
        <v>0</v>
      </c>
      <c r="T40">
        <v>0</v>
      </c>
      <c r="U40">
        <v>0</v>
      </c>
      <c r="V40" t="s">
        <v>141</v>
      </c>
      <c r="W40">
        <v>0</v>
      </c>
      <c r="X40">
        <v>0</v>
      </c>
      <c r="Y40">
        <v>0</v>
      </c>
      <c r="Z40" t="s">
        <v>54</v>
      </c>
      <c r="AA40">
        <v>0</v>
      </c>
      <c r="AB40">
        <v>1</v>
      </c>
      <c r="AC40">
        <v>0</v>
      </c>
      <c r="AD40">
        <v>0</v>
      </c>
      <c r="AE40">
        <v>0</v>
      </c>
      <c r="AF40">
        <v>0</v>
      </c>
      <c r="AG40" t="s">
        <v>142</v>
      </c>
    </row>
    <row r="41" spans="1:33" x14ac:dyDescent="0.2">
      <c r="A41" t="s">
        <v>191</v>
      </c>
      <c r="B41" t="s">
        <v>41</v>
      </c>
      <c r="C41" t="s">
        <v>42</v>
      </c>
      <c r="D41">
        <v>4</v>
      </c>
      <c r="E41" t="s">
        <v>51</v>
      </c>
      <c r="F41">
        <v>1018</v>
      </c>
      <c r="G41" t="s">
        <v>78</v>
      </c>
      <c r="H41" t="s">
        <v>47</v>
      </c>
      <c r="I41">
        <v>0</v>
      </c>
      <c r="J41">
        <v>0</v>
      </c>
      <c r="K41">
        <v>0</v>
      </c>
      <c r="L41" t="s">
        <v>46</v>
      </c>
      <c r="M41" t="s">
        <v>192</v>
      </c>
      <c r="N41" t="s">
        <v>193</v>
      </c>
      <c r="O41">
        <v>0</v>
      </c>
      <c r="P41">
        <v>1</v>
      </c>
      <c r="Q41">
        <v>0</v>
      </c>
      <c r="S41">
        <v>1</v>
      </c>
      <c r="T41">
        <v>0</v>
      </c>
      <c r="U41">
        <v>0</v>
      </c>
      <c r="V41" t="s">
        <v>46</v>
      </c>
      <c r="W41">
        <v>0</v>
      </c>
      <c r="X41">
        <v>1</v>
      </c>
      <c r="Y41">
        <v>1</v>
      </c>
      <c r="Z41" t="s">
        <v>46</v>
      </c>
      <c r="AA41">
        <v>0</v>
      </c>
      <c r="AB41">
        <v>3</v>
      </c>
      <c r="AC41">
        <v>0</v>
      </c>
      <c r="AD41">
        <v>0</v>
      </c>
      <c r="AE41">
        <v>0</v>
      </c>
      <c r="AF41">
        <v>0</v>
      </c>
      <c r="AG41" t="s">
        <v>194</v>
      </c>
    </row>
    <row r="42" spans="1:33" x14ac:dyDescent="0.2">
      <c r="A42" t="s">
        <v>167</v>
      </c>
      <c r="B42" t="s">
        <v>41</v>
      </c>
      <c r="C42" t="s">
        <v>42</v>
      </c>
      <c r="D42">
        <v>4</v>
      </c>
      <c r="E42" t="s">
        <v>63</v>
      </c>
      <c r="F42">
        <v>9071</v>
      </c>
      <c r="G42" t="s">
        <v>56</v>
      </c>
      <c r="H42" t="s">
        <v>47</v>
      </c>
      <c r="I42">
        <v>0</v>
      </c>
      <c r="J42">
        <v>0</v>
      </c>
      <c r="K42">
        <v>1</v>
      </c>
      <c r="L42" t="s">
        <v>46</v>
      </c>
      <c r="M42" t="s">
        <v>47</v>
      </c>
      <c r="N42" t="s">
        <v>174</v>
      </c>
      <c r="O42">
        <v>0</v>
      </c>
      <c r="P42">
        <v>1</v>
      </c>
      <c r="Q42">
        <v>0</v>
      </c>
      <c r="S42">
        <v>0</v>
      </c>
      <c r="T42">
        <v>0</v>
      </c>
      <c r="U42">
        <v>0</v>
      </c>
      <c r="V42" t="s">
        <v>46</v>
      </c>
      <c r="W42">
        <v>0</v>
      </c>
      <c r="X42">
        <v>0</v>
      </c>
      <c r="Y42">
        <v>0</v>
      </c>
      <c r="Z42" t="s">
        <v>54</v>
      </c>
      <c r="AA42">
        <v>0</v>
      </c>
      <c r="AB42">
        <v>2</v>
      </c>
      <c r="AC42">
        <v>0</v>
      </c>
      <c r="AD42">
        <v>1</v>
      </c>
      <c r="AE42">
        <v>1</v>
      </c>
      <c r="AF42">
        <v>0</v>
      </c>
      <c r="AG42" t="s">
        <v>175</v>
      </c>
    </row>
    <row r="43" spans="1:33" x14ac:dyDescent="0.2">
      <c r="A43" t="s">
        <v>148</v>
      </c>
      <c r="B43" t="s">
        <v>41</v>
      </c>
      <c r="C43" t="s">
        <v>42</v>
      </c>
      <c r="D43">
        <v>5</v>
      </c>
      <c r="E43" t="s">
        <v>63</v>
      </c>
      <c r="F43">
        <v>4926</v>
      </c>
      <c r="G43" t="s">
        <v>64</v>
      </c>
      <c r="H43" t="s">
        <v>47</v>
      </c>
      <c r="I43">
        <v>0</v>
      </c>
      <c r="J43">
        <v>0</v>
      </c>
      <c r="K43">
        <v>1</v>
      </c>
      <c r="L43" t="s">
        <v>60</v>
      </c>
      <c r="M43" t="s">
        <v>149</v>
      </c>
      <c r="N43" t="s">
        <v>150</v>
      </c>
      <c r="O43">
        <v>0</v>
      </c>
      <c r="P43">
        <v>0</v>
      </c>
      <c r="Q43">
        <v>0</v>
      </c>
      <c r="S43">
        <v>0</v>
      </c>
      <c r="T43">
        <v>0</v>
      </c>
      <c r="U43">
        <v>25.6</v>
      </c>
      <c r="V43" t="s">
        <v>46</v>
      </c>
      <c r="W43">
        <v>1</v>
      </c>
      <c r="X43">
        <v>1</v>
      </c>
      <c r="Y43">
        <v>0</v>
      </c>
      <c r="Z43" t="s">
        <v>46</v>
      </c>
      <c r="AA43">
        <v>0</v>
      </c>
      <c r="AB43">
        <v>2</v>
      </c>
      <c r="AC43">
        <v>1</v>
      </c>
      <c r="AD43">
        <v>0</v>
      </c>
      <c r="AE43">
        <v>0</v>
      </c>
      <c r="AF43">
        <v>0</v>
      </c>
    </row>
    <row r="44" spans="1:33" x14ac:dyDescent="0.2">
      <c r="A44" t="s">
        <v>40</v>
      </c>
      <c r="B44" t="s">
        <v>41</v>
      </c>
      <c r="C44" t="s">
        <v>42</v>
      </c>
      <c r="D44">
        <v>5</v>
      </c>
      <c r="E44" t="s">
        <v>43</v>
      </c>
      <c r="F44">
        <v>3936</v>
      </c>
      <c r="G44" t="s">
        <v>64</v>
      </c>
      <c r="H44" t="s">
        <v>93</v>
      </c>
      <c r="I44">
        <v>1</v>
      </c>
      <c r="J44">
        <v>0</v>
      </c>
      <c r="K44">
        <v>0</v>
      </c>
      <c r="L44" t="s">
        <v>46</v>
      </c>
      <c r="M44" t="s">
        <v>47</v>
      </c>
      <c r="N44" t="s">
        <v>73</v>
      </c>
      <c r="O44">
        <v>0</v>
      </c>
      <c r="P44">
        <v>0</v>
      </c>
      <c r="Q44">
        <v>0</v>
      </c>
      <c r="S44">
        <v>0</v>
      </c>
      <c r="U44">
        <v>0</v>
      </c>
      <c r="V44" t="s">
        <v>60</v>
      </c>
      <c r="W44">
        <v>1</v>
      </c>
      <c r="X44">
        <v>0</v>
      </c>
      <c r="Y44">
        <v>0</v>
      </c>
      <c r="Z44" t="s">
        <v>46</v>
      </c>
      <c r="AA44">
        <v>1</v>
      </c>
      <c r="AB44">
        <v>3</v>
      </c>
      <c r="AC44">
        <v>0</v>
      </c>
      <c r="AD44">
        <v>0</v>
      </c>
      <c r="AE44">
        <v>0</v>
      </c>
      <c r="AF44">
        <v>0</v>
      </c>
      <c r="AG44" t="s">
        <v>151</v>
      </c>
    </row>
    <row r="45" spans="1:33" x14ac:dyDescent="0.2">
      <c r="A45" t="s">
        <v>66</v>
      </c>
      <c r="B45" t="s">
        <v>41</v>
      </c>
      <c r="C45" t="s">
        <v>42</v>
      </c>
      <c r="D45">
        <v>5</v>
      </c>
      <c r="E45" t="s">
        <v>67</v>
      </c>
      <c r="F45">
        <v>862</v>
      </c>
      <c r="G45" t="s">
        <v>68</v>
      </c>
      <c r="H45" t="s">
        <v>47</v>
      </c>
      <c r="I45">
        <v>0</v>
      </c>
      <c r="J45">
        <v>1</v>
      </c>
      <c r="K45">
        <v>1</v>
      </c>
      <c r="L45" t="s">
        <v>60</v>
      </c>
      <c r="M45" t="s">
        <v>47</v>
      </c>
      <c r="N45" t="s">
        <v>47</v>
      </c>
      <c r="O45">
        <v>0</v>
      </c>
      <c r="P45">
        <v>1</v>
      </c>
      <c r="Q45">
        <v>0</v>
      </c>
      <c r="S45">
        <v>0</v>
      </c>
      <c r="T45">
        <v>0</v>
      </c>
      <c r="U45">
        <v>0</v>
      </c>
      <c r="V45" t="s">
        <v>60</v>
      </c>
      <c r="W45">
        <v>2</v>
      </c>
      <c r="X45">
        <v>1</v>
      </c>
      <c r="Y45">
        <v>0</v>
      </c>
      <c r="Z45" t="s">
        <v>54</v>
      </c>
      <c r="AA45">
        <v>1</v>
      </c>
      <c r="AB45">
        <v>3</v>
      </c>
      <c r="AC45">
        <v>0</v>
      </c>
      <c r="AD45">
        <v>0</v>
      </c>
      <c r="AE45">
        <v>1</v>
      </c>
      <c r="AF45">
        <v>0</v>
      </c>
      <c r="AG45" t="s">
        <v>152</v>
      </c>
    </row>
    <row r="46" spans="1:33" x14ac:dyDescent="0.2">
      <c r="A46" t="s">
        <v>137</v>
      </c>
      <c r="B46" t="s">
        <v>41</v>
      </c>
      <c r="C46" t="s">
        <v>42</v>
      </c>
      <c r="D46">
        <v>5</v>
      </c>
      <c r="E46" t="s">
        <v>81</v>
      </c>
      <c r="F46">
        <v>9119</v>
      </c>
      <c r="G46" t="s">
        <v>92</v>
      </c>
      <c r="H46" t="s">
        <v>47</v>
      </c>
      <c r="I46">
        <v>0</v>
      </c>
      <c r="J46">
        <v>0</v>
      </c>
      <c r="K46">
        <v>0</v>
      </c>
      <c r="L46" t="s">
        <v>46</v>
      </c>
      <c r="M46" t="s">
        <v>47</v>
      </c>
      <c r="N46" t="s">
        <v>47</v>
      </c>
      <c r="O46">
        <v>0</v>
      </c>
      <c r="P46">
        <v>0</v>
      </c>
      <c r="Q46">
        <v>0</v>
      </c>
      <c r="S46">
        <v>0</v>
      </c>
      <c r="T46">
        <v>0</v>
      </c>
      <c r="U46">
        <v>0</v>
      </c>
      <c r="V46" t="s">
        <v>46</v>
      </c>
      <c r="W46">
        <v>2</v>
      </c>
      <c r="X46">
        <v>-1</v>
      </c>
      <c r="Y46">
        <v>0</v>
      </c>
      <c r="Z46" t="s">
        <v>46</v>
      </c>
      <c r="AA46">
        <v>0</v>
      </c>
      <c r="AB46">
        <v>1</v>
      </c>
      <c r="AC46">
        <v>1</v>
      </c>
      <c r="AD46">
        <v>0</v>
      </c>
      <c r="AE46">
        <v>0</v>
      </c>
      <c r="AF46">
        <v>0</v>
      </c>
    </row>
    <row r="47" spans="1:33" x14ac:dyDescent="0.2">
      <c r="A47" t="s">
        <v>128</v>
      </c>
      <c r="B47" t="s">
        <v>41</v>
      </c>
      <c r="C47" t="s">
        <v>42</v>
      </c>
      <c r="D47">
        <v>5</v>
      </c>
      <c r="E47" t="s">
        <v>85</v>
      </c>
      <c r="F47">
        <v>71</v>
      </c>
      <c r="G47" t="s">
        <v>71</v>
      </c>
      <c r="H47" t="s">
        <v>47</v>
      </c>
      <c r="I47">
        <v>1</v>
      </c>
      <c r="J47">
        <v>0</v>
      </c>
      <c r="K47">
        <v>1</v>
      </c>
      <c r="L47" t="s">
        <v>46</v>
      </c>
      <c r="M47" t="s">
        <v>153</v>
      </c>
      <c r="N47" t="s">
        <v>154</v>
      </c>
      <c r="O47">
        <v>0</v>
      </c>
      <c r="P47">
        <v>0</v>
      </c>
      <c r="Q47">
        <v>0</v>
      </c>
      <c r="S47">
        <v>0</v>
      </c>
      <c r="T47">
        <v>2</v>
      </c>
      <c r="U47">
        <v>0</v>
      </c>
      <c r="V47" t="s">
        <v>60</v>
      </c>
      <c r="W47">
        <v>2</v>
      </c>
      <c r="X47">
        <v>2</v>
      </c>
      <c r="Y47">
        <v>0</v>
      </c>
      <c r="Z47" t="s">
        <v>46</v>
      </c>
      <c r="AA47">
        <v>1</v>
      </c>
      <c r="AB47">
        <v>4</v>
      </c>
      <c r="AC47">
        <v>0</v>
      </c>
      <c r="AD47">
        <v>0</v>
      </c>
      <c r="AE47">
        <v>0</v>
      </c>
      <c r="AF47">
        <v>1</v>
      </c>
      <c r="AG47" t="s">
        <v>155</v>
      </c>
    </row>
    <row r="48" spans="1:33" x14ac:dyDescent="0.2">
      <c r="A48" t="s">
        <v>156</v>
      </c>
      <c r="B48" t="s">
        <v>41</v>
      </c>
      <c r="C48" t="s">
        <v>42</v>
      </c>
      <c r="D48">
        <v>5</v>
      </c>
      <c r="E48" t="s">
        <v>81</v>
      </c>
      <c r="F48">
        <v>9119</v>
      </c>
      <c r="G48" t="s">
        <v>106</v>
      </c>
      <c r="H48" t="s">
        <v>47</v>
      </c>
      <c r="I48">
        <v>0</v>
      </c>
      <c r="J48">
        <v>0</v>
      </c>
      <c r="K48">
        <v>0</v>
      </c>
      <c r="L48" t="s">
        <v>46</v>
      </c>
      <c r="M48" t="s">
        <v>47</v>
      </c>
      <c r="N48" t="s">
        <v>47</v>
      </c>
      <c r="O48">
        <v>0</v>
      </c>
      <c r="P48">
        <v>0</v>
      </c>
      <c r="Q48">
        <v>0</v>
      </c>
      <c r="S48">
        <v>0</v>
      </c>
      <c r="T48">
        <v>0</v>
      </c>
      <c r="U48">
        <v>0</v>
      </c>
      <c r="V48" t="s">
        <v>46</v>
      </c>
      <c r="W48">
        <v>2</v>
      </c>
      <c r="X48">
        <v>-1</v>
      </c>
      <c r="Y48">
        <v>0</v>
      </c>
      <c r="Z48" t="s">
        <v>54</v>
      </c>
      <c r="AA48">
        <v>0</v>
      </c>
      <c r="AB48">
        <v>1</v>
      </c>
      <c r="AC48">
        <v>1</v>
      </c>
      <c r="AD48">
        <v>0</v>
      </c>
      <c r="AE48">
        <v>0</v>
      </c>
      <c r="AF48">
        <v>0</v>
      </c>
      <c r="AG48" t="s">
        <v>157</v>
      </c>
    </row>
    <row r="49" spans="1:33" x14ac:dyDescent="0.2">
      <c r="A49" t="s">
        <v>158</v>
      </c>
      <c r="B49" t="s">
        <v>41</v>
      </c>
      <c r="C49" t="s">
        <v>42</v>
      </c>
      <c r="D49">
        <v>5</v>
      </c>
      <c r="E49" t="s">
        <v>67</v>
      </c>
      <c r="F49">
        <v>862</v>
      </c>
      <c r="G49" t="s">
        <v>159</v>
      </c>
      <c r="H49" t="s">
        <v>47</v>
      </c>
      <c r="I49">
        <v>0</v>
      </c>
      <c r="J49">
        <v>0</v>
      </c>
      <c r="K49">
        <v>1</v>
      </c>
      <c r="L49" t="s">
        <v>60</v>
      </c>
      <c r="M49" t="s">
        <v>47</v>
      </c>
      <c r="N49" t="s">
        <v>160</v>
      </c>
      <c r="O49">
        <v>0</v>
      </c>
      <c r="P49">
        <v>1</v>
      </c>
      <c r="Q49">
        <v>0</v>
      </c>
      <c r="S49">
        <v>0</v>
      </c>
      <c r="T49">
        <v>0</v>
      </c>
      <c r="U49">
        <v>4.2</v>
      </c>
      <c r="V49" t="s">
        <v>60</v>
      </c>
      <c r="W49">
        <v>2</v>
      </c>
      <c r="X49">
        <v>1</v>
      </c>
      <c r="Y49">
        <v>2</v>
      </c>
      <c r="Z49" t="s">
        <v>46</v>
      </c>
      <c r="AA49">
        <v>1</v>
      </c>
      <c r="AB49">
        <v>3</v>
      </c>
      <c r="AC49">
        <v>0</v>
      </c>
      <c r="AD49">
        <v>0</v>
      </c>
      <c r="AE49">
        <v>0</v>
      </c>
      <c r="AF49">
        <v>0</v>
      </c>
    </row>
    <row r="50" spans="1:33" x14ac:dyDescent="0.2">
      <c r="A50" t="s">
        <v>135</v>
      </c>
      <c r="B50" t="s">
        <v>41</v>
      </c>
      <c r="C50" t="s">
        <v>42</v>
      </c>
      <c r="D50">
        <v>5</v>
      </c>
      <c r="E50" t="s">
        <v>85</v>
      </c>
      <c r="F50">
        <v>71</v>
      </c>
      <c r="G50" t="s">
        <v>44</v>
      </c>
      <c r="H50" t="s">
        <v>47</v>
      </c>
      <c r="I50">
        <v>0</v>
      </c>
      <c r="J50">
        <v>0</v>
      </c>
      <c r="K50">
        <v>1</v>
      </c>
      <c r="L50" t="s">
        <v>46</v>
      </c>
      <c r="M50" t="s">
        <v>161</v>
      </c>
      <c r="N50" t="s">
        <v>162</v>
      </c>
      <c r="O50">
        <v>0</v>
      </c>
      <c r="P50">
        <v>0</v>
      </c>
      <c r="Q50">
        <v>0</v>
      </c>
      <c r="S50">
        <v>1</v>
      </c>
      <c r="T50">
        <v>2</v>
      </c>
      <c r="U50">
        <v>3.5</v>
      </c>
      <c r="V50" t="s">
        <v>60</v>
      </c>
      <c r="W50">
        <v>2</v>
      </c>
      <c r="X50">
        <v>2</v>
      </c>
      <c r="Y50">
        <v>0</v>
      </c>
      <c r="Z50" t="s">
        <v>46</v>
      </c>
      <c r="AA50">
        <v>0</v>
      </c>
      <c r="AB50">
        <v>5</v>
      </c>
      <c r="AC50">
        <v>0</v>
      </c>
      <c r="AD50">
        <v>0</v>
      </c>
      <c r="AE50">
        <v>0</v>
      </c>
      <c r="AF50">
        <v>1</v>
      </c>
      <c r="AG50" t="s">
        <v>163</v>
      </c>
    </row>
    <row r="51" spans="1:33" x14ac:dyDescent="0.2">
      <c r="A51" t="s">
        <v>80</v>
      </c>
      <c r="B51" t="s">
        <v>271</v>
      </c>
      <c r="C51" t="s">
        <v>42</v>
      </c>
      <c r="D51">
        <v>5</v>
      </c>
      <c r="E51" t="s">
        <v>81</v>
      </c>
      <c r="F51">
        <v>9119</v>
      </c>
      <c r="G51" t="s">
        <v>106</v>
      </c>
      <c r="H51" t="s">
        <v>47</v>
      </c>
      <c r="I51">
        <v>0</v>
      </c>
      <c r="J51">
        <v>0</v>
      </c>
      <c r="K51">
        <v>0</v>
      </c>
      <c r="L51" t="s">
        <v>46</v>
      </c>
      <c r="M51" t="s">
        <v>47</v>
      </c>
      <c r="N51" t="s">
        <v>47</v>
      </c>
      <c r="O51">
        <v>0</v>
      </c>
      <c r="P51">
        <v>0</v>
      </c>
      <c r="Q51">
        <v>0</v>
      </c>
      <c r="S51">
        <v>0</v>
      </c>
      <c r="T51" t="s">
        <v>46</v>
      </c>
      <c r="U51">
        <v>0</v>
      </c>
      <c r="V51" t="s">
        <v>46</v>
      </c>
      <c r="W51">
        <v>2</v>
      </c>
      <c r="X51" t="s">
        <v>46</v>
      </c>
      <c r="Y51">
        <v>0</v>
      </c>
      <c r="Z51" t="s">
        <v>46</v>
      </c>
      <c r="AA51">
        <v>0</v>
      </c>
      <c r="AB51">
        <v>3</v>
      </c>
      <c r="AC51">
        <v>1</v>
      </c>
      <c r="AD51">
        <v>0</v>
      </c>
      <c r="AE51">
        <v>0</v>
      </c>
      <c r="AF51">
        <v>0</v>
      </c>
      <c r="AG51" t="s">
        <v>165</v>
      </c>
    </row>
    <row r="52" spans="1:33" x14ac:dyDescent="0.2">
      <c r="A52" t="s">
        <v>76</v>
      </c>
      <c r="B52" t="s">
        <v>41</v>
      </c>
      <c r="C52" t="s">
        <v>42</v>
      </c>
      <c r="D52">
        <v>5</v>
      </c>
      <c r="E52" t="s">
        <v>43</v>
      </c>
      <c r="F52">
        <v>3936</v>
      </c>
      <c r="G52" t="s">
        <v>56</v>
      </c>
      <c r="H52" t="s">
        <v>93</v>
      </c>
      <c r="I52">
        <v>0</v>
      </c>
      <c r="J52">
        <v>0</v>
      </c>
      <c r="K52">
        <v>1</v>
      </c>
      <c r="L52" t="s">
        <v>46</v>
      </c>
      <c r="M52" t="s">
        <v>47</v>
      </c>
      <c r="N52" t="s">
        <v>73</v>
      </c>
      <c r="O52">
        <v>0</v>
      </c>
      <c r="P52">
        <v>0</v>
      </c>
      <c r="Q52">
        <v>0</v>
      </c>
      <c r="S52">
        <v>0</v>
      </c>
      <c r="T52">
        <v>1</v>
      </c>
      <c r="U52">
        <v>0</v>
      </c>
      <c r="V52" t="s">
        <v>60</v>
      </c>
      <c r="W52">
        <v>1</v>
      </c>
      <c r="X52">
        <v>1</v>
      </c>
      <c r="Y52">
        <v>0</v>
      </c>
      <c r="Z52" t="s">
        <v>46</v>
      </c>
      <c r="AA52">
        <v>0</v>
      </c>
      <c r="AB52">
        <v>3</v>
      </c>
      <c r="AC52">
        <v>0</v>
      </c>
      <c r="AD52">
        <v>0</v>
      </c>
      <c r="AE52">
        <v>0</v>
      </c>
      <c r="AF52">
        <v>0</v>
      </c>
      <c r="AG52" t="s">
        <v>166</v>
      </c>
    </row>
    <row r="53" spans="1:33" x14ac:dyDescent="0.2">
      <c r="A53" t="s">
        <v>167</v>
      </c>
      <c r="B53" t="s">
        <v>41</v>
      </c>
      <c r="C53" t="s">
        <v>42</v>
      </c>
      <c r="D53">
        <v>5</v>
      </c>
      <c r="E53" t="s">
        <v>63</v>
      </c>
      <c r="F53">
        <v>4926</v>
      </c>
      <c r="G53" t="s">
        <v>78</v>
      </c>
      <c r="H53" t="s">
        <v>47</v>
      </c>
      <c r="I53">
        <v>0</v>
      </c>
      <c r="J53">
        <v>1</v>
      </c>
      <c r="K53">
        <v>0</v>
      </c>
      <c r="L53" t="s">
        <v>60</v>
      </c>
      <c r="M53" t="s">
        <v>176</v>
      </c>
      <c r="N53" t="s">
        <v>150</v>
      </c>
      <c r="O53">
        <v>0</v>
      </c>
      <c r="P53">
        <v>0</v>
      </c>
      <c r="Q53">
        <v>0</v>
      </c>
      <c r="S53">
        <v>0</v>
      </c>
      <c r="T53">
        <v>1</v>
      </c>
      <c r="U53">
        <v>0</v>
      </c>
      <c r="V53" t="s">
        <v>46</v>
      </c>
      <c r="W53">
        <v>1</v>
      </c>
      <c r="X53">
        <v>1</v>
      </c>
      <c r="Y53">
        <v>0</v>
      </c>
      <c r="Z53" t="s">
        <v>49</v>
      </c>
      <c r="AA53">
        <v>0</v>
      </c>
      <c r="AB53">
        <v>3</v>
      </c>
      <c r="AC53">
        <v>1</v>
      </c>
      <c r="AD53">
        <v>0</v>
      </c>
      <c r="AE53">
        <v>0</v>
      </c>
      <c r="AF53">
        <v>0</v>
      </c>
      <c r="AG53" t="s">
        <v>177</v>
      </c>
    </row>
    <row r="54" spans="1:33" x14ac:dyDescent="0.2">
      <c r="A54" t="s">
        <v>180</v>
      </c>
      <c r="B54" t="s">
        <v>41</v>
      </c>
      <c r="C54" t="s">
        <v>42</v>
      </c>
      <c r="D54">
        <v>5</v>
      </c>
      <c r="E54" t="s">
        <v>43</v>
      </c>
      <c r="F54">
        <v>868</v>
      </c>
      <c r="G54" t="s">
        <v>44</v>
      </c>
      <c r="H54" t="s">
        <v>145</v>
      </c>
      <c r="I54">
        <v>0</v>
      </c>
      <c r="J54">
        <v>1</v>
      </c>
      <c r="K54">
        <v>0</v>
      </c>
      <c r="L54" t="s">
        <v>60</v>
      </c>
      <c r="M54" t="s">
        <v>47</v>
      </c>
      <c r="N54" t="s">
        <v>150</v>
      </c>
      <c r="O54">
        <v>0</v>
      </c>
      <c r="P54">
        <v>0</v>
      </c>
      <c r="Q54">
        <v>0</v>
      </c>
      <c r="S54">
        <v>0</v>
      </c>
      <c r="T54">
        <v>0</v>
      </c>
      <c r="U54">
        <v>0</v>
      </c>
      <c r="V54" t="s">
        <v>60</v>
      </c>
      <c r="W54">
        <v>2</v>
      </c>
      <c r="X54">
        <v>1</v>
      </c>
      <c r="Y54">
        <v>2</v>
      </c>
      <c r="Z54" t="s">
        <v>181</v>
      </c>
      <c r="AA54">
        <v>1</v>
      </c>
      <c r="AB54">
        <v>3</v>
      </c>
      <c r="AC54">
        <v>0</v>
      </c>
      <c r="AD54">
        <v>0</v>
      </c>
      <c r="AE54">
        <v>0</v>
      </c>
      <c r="AF54">
        <v>1</v>
      </c>
      <c r="AG54" t="s">
        <v>182</v>
      </c>
    </row>
    <row r="55" spans="1:33" x14ac:dyDescent="0.2">
      <c r="A55" t="s">
        <v>191</v>
      </c>
      <c r="B55" t="s">
        <v>41</v>
      </c>
      <c r="C55" t="s">
        <v>42</v>
      </c>
      <c r="D55">
        <v>5</v>
      </c>
      <c r="E55" t="s">
        <v>51</v>
      </c>
      <c r="F55">
        <v>4982</v>
      </c>
      <c r="G55" t="s">
        <v>44</v>
      </c>
      <c r="H55" t="s">
        <v>47</v>
      </c>
      <c r="I55">
        <v>1</v>
      </c>
      <c r="J55">
        <v>0</v>
      </c>
      <c r="K55">
        <v>0</v>
      </c>
      <c r="L55" t="s">
        <v>46</v>
      </c>
      <c r="M55" t="s">
        <v>195</v>
      </c>
      <c r="N55" t="s">
        <v>47</v>
      </c>
      <c r="O55">
        <v>0</v>
      </c>
      <c r="P55">
        <v>0</v>
      </c>
      <c r="Q55">
        <v>0</v>
      </c>
      <c r="S55">
        <v>0</v>
      </c>
      <c r="T55">
        <v>0</v>
      </c>
      <c r="U55">
        <v>13.9</v>
      </c>
      <c r="V55" t="s">
        <v>49</v>
      </c>
      <c r="W55">
        <v>1</v>
      </c>
      <c r="X55">
        <v>0</v>
      </c>
      <c r="Y55">
        <v>0</v>
      </c>
      <c r="Z55" t="s">
        <v>46</v>
      </c>
      <c r="AA55">
        <v>0</v>
      </c>
      <c r="AB55">
        <v>1</v>
      </c>
      <c r="AC55">
        <v>1</v>
      </c>
      <c r="AD55">
        <v>0</v>
      </c>
      <c r="AE55">
        <v>1</v>
      </c>
      <c r="AF55">
        <v>0</v>
      </c>
      <c r="AG55" t="s">
        <v>196</v>
      </c>
    </row>
    <row r="56" spans="1:33" x14ac:dyDescent="0.2">
      <c r="A56" t="s">
        <v>128</v>
      </c>
      <c r="B56" t="s">
        <v>41</v>
      </c>
      <c r="C56" t="s">
        <v>42</v>
      </c>
      <c r="D56">
        <v>6</v>
      </c>
      <c r="E56" t="s">
        <v>85</v>
      </c>
      <c r="F56">
        <v>5484</v>
      </c>
      <c r="G56" t="s">
        <v>106</v>
      </c>
      <c r="H56" t="s">
        <v>96</v>
      </c>
      <c r="I56">
        <v>1</v>
      </c>
      <c r="J56">
        <v>0</v>
      </c>
      <c r="K56">
        <v>1</v>
      </c>
      <c r="L56" t="s">
        <v>46</v>
      </c>
      <c r="M56" t="s">
        <v>183</v>
      </c>
      <c r="N56" t="s">
        <v>184</v>
      </c>
      <c r="O56">
        <v>0</v>
      </c>
      <c r="P56">
        <v>0</v>
      </c>
      <c r="Q56">
        <v>0</v>
      </c>
      <c r="S56">
        <v>1</v>
      </c>
      <c r="T56">
        <v>2</v>
      </c>
      <c r="U56">
        <v>15.4</v>
      </c>
      <c r="V56" t="s">
        <v>60</v>
      </c>
      <c r="W56">
        <v>2</v>
      </c>
      <c r="X56">
        <v>1</v>
      </c>
      <c r="Y56">
        <v>1</v>
      </c>
      <c r="Z56" t="s">
        <v>46</v>
      </c>
      <c r="AA56">
        <v>0</v>
      </c>
      <c r="AB56">
        <v>2</v>
      </c>
      <c r="AC56">
        <v>0</v>
      </c>
      <c r="AD56">
        <v>0</v>
      </c>
      <c r="AE56">
        <v>1</v>
      </c>
      <c r="AF56">
        <v>0</v>
      </c>
    </row>
    <row r="57" spans="1:33" x14ac:dyDescent="0.2">
      <c r="A57" t="s">
        <v>80</v>
      </c>
      <c r="B57" t="s">
        <v>164</v>
      </c>
      <c r="C57" t="s">
        <v>42</v>
      </c>
      <c r="D57">
        <v>6</v>
      </c>
      <c r="E57" t="s">
        <v>81</v>
      </c>
      <c r="F57">
        <v>328</v>
      </c>
      <c r="G57" t="s">
        <v>71</v>
      </c>
      <c r="H57" t="s">
        <v>47</v>
      </c>
      <c r="I57">
        <v>1</v>
      </c>
      <c r="J57">
        <v>1</v>
      </c>
      <c r="K57">
        <v>1</v>
      </c>
      <c r="L57" t="s">
        <v>46</v>
      </c>
      <c r="M57" t="s">
        <v>185</v>
      </c>
      <c r="N57" t="s">
        <v>56</v>
      </c>
      <c r="O57">
        <v>0</v>
      </c>
      <c r="P57">
        <v>1</v>
      </c>
      <c r="Q57">
        <v>0</v>
      </c>
      <c r="S57">
        <v>0</v>
      </c>
      <c r="T57" t="s">
        <v>186</v>
      </c>
      <c r="U57">
        <v>4.8</v>
      </c>
      <c r="V57" t="s">
        <v>60</v>
      </c>
      <c r="W57">
        <v>2</v>
      </c>
      <c r="X57" t="s">
        <v>49</v>
      </c>
      <c r="Y57">
        <v>0</v>
      </c>
      <c r="Z57" t="s">
        <v>46</v>
      </c>
      <c r="AA57">
        <v>0</v>
      </c>
      <c r="AB57">
        <v>3</v>
      </c>
      <c r="AC57">
        <v>0</v>
      </c>
      <c r="AD57">
        <v>0</v>
      </c>
      <c r="AE57">
        <v>0</v>
      </c>
      <c r="AF57">
        <v>1</v>
      </c>
    </row>
    <row r="58" spans="1:33" x14ac:dyDescent="0.2">
      <c r="A58" t="s">
        <v>76</v>
      </c>
      <c r="B58" t="s">
        <v>41</v>
      </c>
      <c r="C58" t="s">
        <v>42</v>
      </c>
      <c r="D58">
        <v>6</v>
      </c>
      <c r="E58" t="s">
        <v>63</v>
      </c>
      <c r="F58">
        <v>868</v>
      </c>
      <c r="G58" t="s">
        <v>64</v>
      </c>
      <c r="H58" t="s">
        <v>87</v>
      </c>
      <c r="I58">
        <v>0</v>
      </c>
      <c r="J58">
        <v>0</v>
      </c>
      <c r="K58">
        <v>1</v>
      </c>
      <c r="L58" t="s">
        <v>60</v>
      </c>
      <c r="M58" t="s">
        <v>47</v>
      </c>
      <c r="N58" t="s">
        <v>150</v>
      </c>
      <c r="O58">
        <v>0</v>
      </c>
      <c r="P58">
        <v>0</v>
      </c>
      <c r="Q58">
        <v>0</v>
      </c>
      <c r="S58">
        <v>0</v>
      </c>
      <c r="T58">
        <v>2</v>
      </c>
      <c r="U58">
        <v>0</v>
      </c>
      <c r="V58" t="s">
        <v>60</v>
      </c>
      <c r="W58">
        <v>2</v>
      </c>
      <c r="X58">
        <v>-1</v>
      </c>
      <c r="Y58">
        <v>0</v>
      </c>
      <c r="Z58" t="s">
        <v>181</v>
      </c>
      <c r="AA58">
        <v>1</v>
      </c>
      <c r="AB58">
        <v>3</v>
      </c>
      <c r="AC58">
        <v>0</v>
      </c>
      <c r="AD58">
        <v>0</v>
      </c>
      <c r="AE58">
        <v>0</v>
      </c>
      <c r="AF58">
        <v>1</v>
      </c>
      <c r="AG58" t="s">
        <v>190</v>
      </c>
    </row>
    <row r="59" spans="1:33" x14ac:dyDescent="0.2">
      <c r="A59" t="s">
        <v>66</v>
      </c>
      <c r="B59" t="s">
        <v>41</v>
      </c>
      <c r="C59" t="s">
        <v>42</v>
      </c>
      <c r="D59">
        <v>6</v>
      </c>
      <c r="E59" t="s">
        <v>67</v>
      </c>
      <c r="F59">
        <v>1501</v>
      </c>
      <c r="G59" t="s">
        <v>68</v>
      </c>
      <c r="H59" t="s">
        <v>47</v>
      </c>
      <c r="I59">
        <v>0</v>
      </c>
      <c r="J59">
        <v>0</v>
      </c>
      <c r="K59">
        <v>0</v>
      </c>
      <c r="L59" t="s">
        <v>46</v>
      </c>
      <c r="M59" t="s">
        <v>47</v>
      </c>
      <c r="N59" t="s">
        <v>178</v>
      </c>
      <c r="O59">
        <v>0</v>
      </c>
      <c r="P59">
        <v>1</v>
      </c>
      <c r="Q59">
        <v>0</v>
      </c>
      <c r="S59">
        <v>0</v>
      </c>
      <c r="T59">
        <v>0</v>
      </c>
      <c r="U59">
        <v>0</v>
      </c>
      <c r="V59" t="s">
        <v>46</v>
      </c>
      <c r="W59">
        <v>0</v>
      </c>
      <c r="X59">
        <v>1</v>
      </c>
      <c r="Y59">
        <v>0</v>
      </c>
      <c r="Z59" t="s">
        <v>54</v>
      </c>
      <c r="AA59">
        <v>1</v>
      </c>
      <c r="AB59">
        <v>3</v>
      </c>
      <c r="AC59">
        <v>1</v>
      </c>
      <c r="AD59">
        <v>1</v>
      </c>
      <c r="AE59">
        <v>0</v>
      </c>
      <c r="AF59">
        <v>0</v>
      </c>
      <c r="AG59" t="s">
        <v>179</v>
      </c>
    </row>
    <row r="60" spans="1:33" x14ac:dyDescent="0.2">
      <c r="A60" t="s">
        <v>191</v>
      </c>
      <c r="B60" t="s">
        <v>41</v>
      </c>
      <c r="C60" t="s">
        <v>42</v>
      </c>
      <c r="D60">
        <v>6</v>
      </c>
      <c r="E60" t="s">
        <v>51</v>
      </c>
      <c r="F60">
        <v>461</v>
      </c>
      <c r="G60" t="s">
        <v>44</v>
      </c>
      <c r="H60" t="s">
        <v>145</v>
      </c>
      <c r="I60">
        <v>1</v>
      </c>
      <c r="J60">
        <v>0</v>
      </c>
      <c r="K60">
        <v>0</v>
      </c>
      <c r="L60" t="s">
        <v>46</v>
      </c>
      <c r="M60" t="s">
        <v>197</v>
      </c>
      <c r="N60" t="s">
        <v>198</v>
      </c>
      <c r="O60">
        <v>0</v>
      </c>
      <c r="P60">
        <v>1</v>
      </c>
      <c r="Q60">
        <v>0</v>
      </c>
      <c r="S60">
        <v>1</v>
      </c>
      <c r="T60">
        <v>0</v>
      </c>
      <c r="U60">
        <v>5.9</v>
      </c>
      <c r="V60" t="s">
        <v>60</v>
      </c>
      <c r="W60">
        <v>2</v>
      </c>
      <c r="X60">
        <v>2</v>
      </c>
      <c r="Y60">
        <v>1</v>
      </c>
      <c r="Z60" t="s">
        <v>49</v>
      </c>
      <c r="AA60">
        <v>1</v>
      </c>
      <c r="AB60">
        <v>4</v>
      </c>
      <c r="AC60">
        <v>0</v>
      </c>
      <c r="AD60">
        <v>0</v>
      </c>
      <c r="AE60">
        <v>0</v>
      </c>
      <c r="AF60">
        <v>1</v>
      </c>
      <c r="AG60" t="s">
        <v>199</v>
      </c>
    </row>
    <row r="61" spans="1:33" x14ac:dyDescent="0.2">
      <c r="A61" t="s">
        <v>137</v>
      </c>
      <c r="B61" t="s">
        <v>41</v>
      </c>
      <c r="C61" t="s">
        <v>42</v>
      </c>
      <c r="D61">
        <v>6</v>
      </c>
      <c r="E61" t="s">
        <v>81</v>
      </c>
      <c r="F61">
        <v>328</v>
      </c>
      <c r="G61" t="s">
        <v>200</v>
      </c>
      <c r="H61" t="s">
        <v>47</v>
      </c>
      <c r="I61">
        <v>1</v>
      </c>
      <c r="J61">
        <v>0</v>
      </c>
      <c r="K61">
        <v>1</v>
      </c>
      <c r="L61" t="s">
        <v>46</v>
      </c>
      <c r="M61" t="s">
        <v>201</v>
      </c>
      <c r="N61" t="s">
        <v>202</v>
      </c>
      <c r="O61">
        <v>0</v>
      </c>
      <c r="P61">
        <v>0</v>
      </c>
      <c r="Q61">
        <v>0</v>
      </c>
      <c r="S61">
        <v>0</v>
      </c>
      <c r="T61">
        <v>3</v>
      </c>
      <c r="U61">
        <v>2.2999999999999998</v>
      </c>
      <c r="V61" t="s">
        <v>60</v>
      </c>
      <c r="W61">
        <v>2</v>
      </c>
      <c r="X61">
        <v>1</v>
      </c>
      <c r="Y61">
        <v>3</v>
      </c>
      <c r="Z61" t="s">
        <v>49</v>
      </c>
      <c r="AA61">
        <v>0</v>
      </c>
      <c r="AB61">
        <v>3</v>
      </c>
      <c r="AC61">
        <v>0</v>
      </c>
      <c r="AD61">
        <v>0</v>
      </c>
      <c r="AE61">
        <v>0</v>
      </c>
      <c r="AF61">
        <v>1</v>
      </c>
    </row>
    <row r="62" spans="1:33" x14ac:dyDescent="0.2">
      <c r="A62" t="s">
        <v>203</v>
      </c>
      <c r="B62" t="s">
        <v>41</v>
      </c>
      <c r="C62" t="s">
        <v>42</v>
      </c>
      <c r="D62">
        <v>6</v>
      </c>
      <c r="E62" t="s">
        <v>51</v>
      </c>
      <c r="F62">
        <v>461</v>
      </c>
      <c r="G62" t="s">
        <v>204</v>
      </c>
      <c r="H62" t="s">
        <v>108</v>
      </c>
      <c r="I62">
        <v>0</v>
      </c>
      <c r="J62">
        <v>0</v>
      </c>
      <c r="K62">
        <v>1</v>
      </c>
      <c r="L62" t="s">
        <v>46</v>
      </c>
      <c r="M62" t="s">
        <v>47</v>
      </c>
      <c r="N62" t="s">
        <v>205</v>
      </c>
      <c r="O62">
        <v>0</v>
      </c>
      <c r="P62">
        <v>1</v>
      </c>
      <c r="Q62">
        <v>0</v>
      </c>
      <c r="S62">
        <v>1</v>
      </c>
      <c r="T62">
        <v>2</v>
      </c>
      <c r="U62">
        <v>0</v>
      </c>
      <c r="V62" t="s">
        <v>60</v>
      </c>
      <c r="W62">
        <v>2</v>
      </c>
      <c r="X62">
        <v>2</v>
      </c>
      <c r="Y62">
        <v>1</v>
      </c>
      <c r="Z62" t="s">
        <v>46</v>
      </c>
      <c r="AA62">
        <v>0</v>
      </c>
      <c r="AB62">
        <v>4</v>
      </c>
      <c r="AC62">
        <v>0</v>
      </c>
      <c r="AD62">
        <v>0</v>
      </c>
      <c r="AE62">
        <v>0</v>
      </c>
      <c r="AF62">
        <v>1</v>
      </c>
    </row>
    <row r="63" spans="1:33" x14ac:dyDescent="0.2">
      <c r="A63" t="s">
        <v>245</v>
      </c>
      <c r="B63" t="s">
        <v>41</v>
      </c>
      <c r="C63" t="s">
        <v>42</v>
      </c>
      <c r="D63">
        <v>6</v>
      </c>
      <c r="E63" t="s">
        <v>63</v>
      </c>
      <c r="F63">
        <v>7477</v>
      </c>
      <c r="G63" t="s">
        <v>56</v>
      </c>
      <c r="H63" t="s">
        <v>47</v>
      </c>
      <c r="I63">
        <v>0</v>
      </c>
      <c r="J63">
        <v>0</v>
      </c>
      <c r="K63">
        <v>0</v>
      </c>
      <c r="L63" t="s">
        <v>46</v>
      </c>
      <c r="M63" t="s">
        <v>246</v>
      </c>
      <c r="N63" t="s">
        <v>47</v>
      </c>
      <c r="O63">
        <v>0</v>
      </c>
      <c r="P63">
        <v>0</v>
      </c>
      <c r="Q63">
        <v>0</v>
      </c>
      <c r="S63">
        <v>0</v>
      </c>
      <c r="T63">
        <v>1</v>
      </c>
      <c r="U63">
        <v>0</v>
      </c>
      <c r="V63" t="s">
        <v>46</v>
      </c>
      <c r="W63">
        <v>2</v>
      </c>
      <c r="X63">
        <v>0</v>
      </c>
      <c r="Y63">
        <v>0</v>
      </c>
      <c r="Z63" t="s">
        <v>46</v>
      </c>
      <c r="AA63">
        <v>0</v>
      </c>
      <c r="AB63">
        <v>1</v>
      </c>
      <c r="AC63">
        <v>0</v>
      </c>
      <c r="AD63">
        <v>0</v>
      </c>
      <c r="AE63">
        <v>1</v>
      </c>
      <c r="AF63">
        <v>0</v>
      </c>
      <c r="AG63" t="s">
        <v>247</v>
      </c>
    </row>
    <row r="64" spans="1:33" x14ac:dyDescent="0.2">
      <c r="A64" t="s">
        <v>158</v>
      </c>
      <c r="B64" t="s">
        <v>41</v>
      </c>
      <c r="C64" t="s">
        <v>42</v>
      </c>
      <c r="D64">
        <v>6</v>
      </c>
      <c r="E64" t="s">
        <v>67</v>
      </c>
      <c r="F64">
        <v>1501</v>
      </c>
      <c r="G64" t="s">
        <v>159</v>
      </c>
      <c r="H64" t="s">
        <v>47</v>
      </c>
      <c r="I64">
        <v>0</v>
      </c>
      <c r="J64">
        <v>0</v>
      </c>
      <c r="K64">
        <v>0</v>
      </c>
      <c r="L64" t="s">
        <v>46</v>
      </c>
      <c r="M64" t="s">
        <v>187</v>
      </c>
      <c r="N64" t="s">
        <v>188</v>
      </c>
      <c r="O64">
        <v>0</v>
      </c>
      <c r="P64">
        <v>1</v>
      </c>
      <c r="Q64">
        <v>0</v>
      </c>
      <c r="S64">
        <v>0</v>
      </c>
      <c r="T64">
        <v>0</v>
      </c>
      <c r="U64">
        <v>0</v>
      </c>
      <c r="V64" t="s">
        <v>46</v>
      </c>
      <c r="W64">
        <v>2</v>
      </c>
      <c r="X64">
        <v>1</v>
      </c>
      <c r="Y64">
        <v>0</v>
      </c>
      <c r="Z64" t="s">
        <v>46</v>
      </c>
      <c r="AA64">
        <v>1</v>
      </c>
      <c r="AB64">
        <v>3</v>
      </c>
      <c r="AC64">
        <v>1</v>
      </c>
      <c r="AD64">
        <v>1</v>
      </c>
      <c r="AE64">
        <v>0</v>
      </c>
      <c r="AF64">
        <v>0</v>
      </c>
      <c r="AG64" t="s">
        <v>189</v>
      </c>
    </row>
    <row r="65" spans="1:33" x14ac:dyDescent="0.2">
      <c r="A65" t="s">
        <v>97</v>
      </c>
      <c r="B65" t="s">
        <v>41</v>
      </c>
      <c r="C65" t="s">
        <v>42</v>
      </c>
      <c r="D65">
        <v>6</v>
      </c>
      <c r="E65" t="s">
        <v>85</v>
      </c>
      <c r="F65">
        <v>5484</v>
      </c>
      <c r="G65" t="s">
        <v>71</v>
      </c>
      <c r="H65" t="s">
        <v>47</v>
      </c>
      <c r="I65">
        <v>1</v>
      </c>
      <c r="J65">
        <v>1</v>
      </c>
      <c r="K65">
        <v>1</v>
      </c>
      <c r="L65" t="s">
        <v>46</v>
      </c>
      <c r="M65" t="s">
        <v>47</v>
      </c>
      <c r="N65" t="s">
        <v>96</v>
      </c>
      <c r="O65">
        <v>0</v>
      </c>
      <c r="P65">
        <v>0</v>
      </c>
      <c r="Q65">
        <v>0</v>
      </c>
      <c r="S65">
        <v>0</v>
      </c>
      <c r="T65">
        <v>3</v>
      </c>
      <c r="U65">
        <v>0</v>
      </c>
      <c r="V65" t="s">
        <v>60</v>
      </c>
      <c r="W65">
        <v>2</v>
      </c>
      <c r="X65">
        <v>1</v>
      </c>
      <c r="Y65">
        <v>1</v>
      </c>
      <c r="Z65" t="s">
        <v>46</v>
      </c>
      <c r="AA65">
        <v>1</v>
      </c>
      <c r="AB65">
        <v>3</v>
      </c>
      <c r="AC65">
        <v>0</v>
      </c>
      <c r="AD65">
        <v>1</v>
      </c>
      <c r="AE65">
        <v>0</v>
      </c>
      <c r="AF65">
        <v>1</v>
      </c>
    </row>
    <row r="66" spans="1:33" x14ac:dyDescent="0.2">
      <c r="A66" t="s">
        <v>80</v>
      </c>
      <c r="B66" t="s">
        <v>271</v>
      </c>
      <c r="C66" t="s">
        <v>42</v>
      </c>
      <c r="D66">
        <v>7</v>
      </c>
      <c r="E66" t="s">
        <v>81</v>
      </c>
      <c r="F66">
        <v>1018</v>
      </c>
      <c r="G66" t="s">
        <v>68</v>
      </c>
      <c r="H66" t="s">
        <v>47</v>
      </c>
      <c r="I66">
        <v>0</v>
      </c>
      <c r="J66">
        <v>0</v>
      </c>
      <c r="K66">
        <v>0</v>
      </c>
      <c r="L66" t="s">
        <v>46</v>
      </c>
      <c r="M66" t="s">
        <v>214</v>
      </c>
      <c r="N66" t="s">
        <v>215</v>
      </c>
      <c r="O66">
        <v>0</v>
      </c>
      <c r="P66">
        <v>1</v>
      </c>
      <c r="Q66">
        <v>0</v>
      </c>
      <c r="S66">
        <v>1</v>
      </c>
      <c r="T66" t="s">
        <v>46</v>
      </c>
      <c r="U66">
        <v>13</v>
      </c>
      <c r="V66" t="s">
        <v>60</v>
      </c>
      <c r="W66">
        <v>2</v>
      </c>
      <c r="X66" t="s">
        <v>216</v>
      </c>
      <c r="Y66">
        <v>0</v>
      </c>
      <c r="Z66" t="s">
        <v>46</v>
      </c>
      <c r="AA66">
        <v>0</v>
      </c>
      <c r="AB66">
        <v>5</v>
      </c>
      <c r="AC66">
        <v>0</v>
      </c>
      <c r="AD66">
        <v>1</v>
      </c>
      <c r="AE66">
        <v>0</v>
      </c>
      <c r="AF66">
        <v>1</v>
      </c>
      <c r="AG66" t="s">
        <v>199</v>
      </c>
    </row>
    <row r="67" spans="1:33" x14ac:dyDescent="0.2">
      <c r="A67" t="s">
        <v>97</v>
      </c>
      <c r="B67" t="s">
        <v>41</v>
      </c>
      <c r="C67" t="s">
        <v>42</v>
      </c>
      <c r="D67">
        <v>7</v>
      </c>
      <c r="E67" t="s">
        <v>85</v>
      </c>
      <c r="F67">
        <v>5402</v>
      </c>
      <c r="G67" t="s">
        <v>106</v>
      </c>
      <c r="H67" t="s">
        <v>47</v>
      </c>
      <c r="I67">
        <v>0</v>
      </c>
      <c r="J67">
        <v>0</v>
      </c>
      <c r="K67">
        <v>0</v>
      </c>
      <c r="L67" t="s">
        <v>46</v>
      </c>
      <c r="M67" t="s">
        <v>206</v>
      </c>
      <c r="N67" t="s">
        <v>207</v>
      </c>
      <c r="O67">
        <v>0</v>
      </c>
      <c r="P67">
        <v>0</v>
      </c>
      <c r="Q67">
        <v>0</v>
      </c>
      <c r="S67">
        <v>0</v>
      </c>
      <c r="T67">
        <v>1</v>
      </c>
      <c r="U67">
        <v>0</v>
      </c>
      <c r="V67" t="s">
        <v>60</v>
      </c>
      <c r="W67">
        <v>2</v>
      </c>
      <c r="X67">
        <v>1</v>
      </c>
      <c r="Y67">
        <v>0</v>
      </c>
      <c r="Z67" t="s">
        <v>46</v>
      </c>
      <c r="AA67">
        <v>1</v>
      </c>
      <c r="AB67">
        <v>3</v>
      </c>
      <c r="AC67">
        <v>0</v>
      </c>
      <c r="AD67">
        <v>0</v>
      </c>
      <c r="AE67">
        <v>0</v>
      </c>
      <c r="AF67">
        <v>0</v>
      </c>
    </row>
    <row r="68" spans="1:33" x14ac:dyDescent="0.2">
      <c r="A68" t="s">
        <v>66</v>
      </c>
      <c r="B68" t="s">
        <v>41</v>
      </c>
      <c r="C68" t="s">
        <v>42</v>
      </c>
      <c r="D68">
        <v>7</v>
      </c>
      <c r="E68" t="s">
        <v>67</v>
      </c>
      <c r="F68">
        <v>3176</v>
      </c>
      <c r="G68" t="s">
        <v>71</v>
      </c>
      <c r="H68" t="s">
        <v>172</v>
      </c>
      <c r="I68">
        <v>1</v>
      </c>
      <c r="J68">
        <v>1</v>
      </c>
      <c r="K68">
        <v>1</v>
      </c>
      <c r="L68" t="s">
        <v>60</v>
      </c>
      <c r="M68" t="s">
        <v>47</v>
      </c>
      <c r="N68" t="s">
        <v>210</v>
      </c>
      <c r="O68">
        <v>0</v>
      </c>
      <c r="P68">
        <v>1</v>
      </c>
      <c r="Q68">
        <v>0</v>
      </c>
      <c r="S68">
        <v>1</v>
      </c>
      <c r="T68">
        <v>2</v>
      </c>
      <c r="U68">
        <v>0</v>
      </c>
      <c r="V68" t="s">
        <v>46</v>
      </c>
      <c r="W68">
        <v>2</v>
      </c>
      <c r="X68">
        <v>2</v>
      </c>
      <c r="Y68">
        <v>0</v>
      </c>
      <c r="Z68" t="s">
        <v>181</v>
      </c>
      <c r="AA68">
        <v>1</v>
      </c>
      <c r="AB68">
        <v>4</v>
      </c>
      <c r="AC68">
        <v>0</v>
      </c>
      <c r="AD68">
        <v>0</v>
      </c>
      <c r="AE68">
        <v>0</v>
      </c>
      <c r="AF68">
        <v>0</v>
      </c>
    </row>
    <row r="69" spans="1:33" x14ac:dyDescent="0.2">
      <c r="A69" t="s">
        <v>211</v>
      </c>
      <c r="B69" t="s">
        <v>41</v>
      </c>
      <c r="C69" t="s">
        <v>42</v>
      </c>
      <c r="D69">
        <v>7</v>
      </c>
      <c r="E69" t="s">
        <v>85</v>
      </c>
      <c r="F69">
        <v>5402</v>
      </c>
      <c r="G69" t="s">
        <v>106</v>
      </c>
      <c r="H69" t="s">
        <v>47</v>
      </c>
      <c r="I69">
        <v>0</v>
      </c>
      <c r="J69">
        <v>0</v>
      </c>
      <c r="K69">
        <v>0</v>
      </c>
      <c r="L69" t="s">
        <v>46</v>
      </c>
      <c r="M69" t="s">
        <v>47</v>
      </c>
      <c r="N69" t="s">
        <v>212</v>
      </c>
      <c r="O69">
        <v>0</v>
      </c>
      <c r="P69">
        <v>0</v>
      </c>
      <c r="Q69">
        <v>0</v>
      </c>
      <c r="S69">
        <v>0</v>
      </c>
      <c r="T69">
        <v>1</v>
      </c>
      <c r="U69">
        <v>16.2</v>
      </c>
      <c r="V69" t="s">
        <v>60</v>
      </c>
      <c r="W69">
        <v>2</v>
      </c>
      <c r="X69">
        <v>1</v>
      </c>
      <c r="Y69">
        <v>0</v>
      </c>
      <c r="Z69" t="s">
        <v>46</v>
      </c>
      <c r="AA69">
        <v>0</v>
      </c>
      <c r="AB69">
        <v>2</v>
      </c>
      <c r="AC69">
        <v>0</v>
      </c>
      <c r="AD69">
        <v>0</v>
      </c>
      <c r="AE69">
        <v>0</v>
      </c>
      <c r="AF69">
        <v>0</v>
      </c>
      <c r="AG69" t="s">
        <v>213</v>
      </c>
    </row>
    <row r="70" spans="1:33" x14ac:dyDescent="0.2">
      <c r="A70" t="s">
        <v>158</v>
      </c>
      <c r="B70" t="s">
        <v>41</v>
      </c>
      <c r="C70" t="s">
        <v>42</v>
      </c>
      <c r="D70">
        <v>7</v>
      </c>
      <c r="E70" t="s">
        <v>67</v>
      </c>
      <c r="F70">
        <v>3176</v>
      </c>
      <c r="G70" t="s">
        <v>217</v>
      </c>
      <c r="H70" t="s">
        <v>172</v>
      </c>
      <c r="I70">
        <v>1</v>
      </c>
      <c r="J70">
        <v>0</v>
      </c>
      <c r="K70">
        <v>1</v>
      </c>
      <c r="L70" t="s">
        <v>60</v>
      </c>
      <c r="M70" t="s">
        <v>218</v>
      </c>
      <c r="N70" t="s">
        <v>219</v>
      </c>
      <c r="O70">
        <v>0</v>
      </c>
      <c r="P70">
        <v>1</v>
      </c>
      <c r="Q70">
        <v>0</v>
      </c>
      <c r="S70">
        <v>1</v>
      </c>
      <c r="T70">
        <v>2</v>
      </c>
      <c r="U70">
        <v>0</v>
      </c>
      <c r="V70" t="s">
        <v>141</v>
      </c>
      <c r="W70">
        <v>2</v>
      </c>
      <c r="X70">
        <v>2</v>
      </c>
      <c r="Y70">
        <v>2</v>
      </c>
      <c r="Z70" t="s">
        <v>49</v>
      </c>
      <c r="AA70">
        <v>1</v>
      </c>
      <c r="AB70">
        <v>4</v>
      </c>
      <c r="AC70">
        <v>0</v>
      </c>
      <c r="AD70">
        <v>0</v>
      </c>
      <c r="AE70">
        <v>0</v>
      </c>
      <c r="AF70">
        <v>0</v>
      </c>
      <c r="AG70" t="s">
        <v>220</v>
      </c>
    </row>
    <row r="71" spans="1:33" x14ac:dyDescent="0.2">
      <c r="A71" t="s">
        <v>222</v>
      </c>
      <c r="B71" t="s">
        <v>41</v>
      </c>
      <c r="C71" t="s">
        <v>42</v>
      </c>
      <c r="D71">
        <v>7</v>
      </c>
      <c r="E71" t="s">
        <v>51</v>
      </c>
      <c r="F71">
        <v>135</v>
      </c>
      <c r="G71" t="s">
        <v>44</v>
      </c>
      <c r="H71" t="s">
        <v>145</v>
      </c>
      <c r="I71">
        <v>0</v>
      </c>
      <c r="J71">
        <v>0</v>
      </c>
      <c r="K71">
        <v>1</v>
      </c>
      <c r="L71" t="s">
        <v>46</v>
      </c>
      <c r="M71" t="s">
        <v>47</v>
      </c>
      <c r="N71" t="s">
        <v>223</v>
      </c>
      <c r="O71">
        <v>0</v>
      </c>
      <c r="P71">
        <v>0</v>
      </c>
      <c r="Q71">
        <v>0</v>
      </c>
      <c r="S71">
        <v>0</v>
      </c>
      <c r="T71">
        <v>3</v>
      </c>
      <c r="U71">
        <v>0</v>
      </c>
      <c r="V71" t="s">
        <v>141</v>
      </c>
      <c r="W71">
        <v>1</v>
      </c>
      <c r="X71">
        <v>1</v>
      </c>
      <c r="Y71">
        <v>0</v>
      </c>
      <c r="Z71" t="s">
        <v>46</v>
      </c>
      <c r="AA71">
        <v>0</v>
      </c>
      <c r="AB71">
        <v>2</v>
      </c>
      <c r="AC71">
        <v>0</v>
      </c>
      <c r="AD71">
        <v>0</v>
      </c>
      <c r="AE71">
        <v>0</v>
      </c>
      <c r="AF71">
        <v>0</v>
      </c>
    </row>
    <row r="72" spans="1:33" x14ac:dyDescent="0.2">
      <c r="A72" t="s">
        <v>224</v>
      </c>
      <c r="B72" t="s">
        <v>41</v>
      </c>
      <c r="C72" t="s">
        <v>42</v>
      </c>
      <c r="D72">
        <v>7</v>
      </c>
      <c r="E72" t="s">
        <v>67</v>
      </c>
      <c r="F72">
        <v>3176</v>
      </c>
      <c r="G72" t="s">
        <v>71</v>
      </c>
      <c r="H72" t="s">
        <v>47</v>
      </c>
      <c r="I72">
        <v>0</v>
      </c>
      <c r="J72">
        <v>1</v>
      </c>
      <c r="K72">
        <v>1</v>
      </c>
      <c r="L72" t="s">
        <v>60</v>
      </c>
      <c r="M72" t="s">
        <v>225</v>
      </c>
      <c r="N72" t="s">
        <v>226</v>
      </c>
      <c r="O72">
        <v>0</v>
      </c>
      <c r="P72">
        <v>0</v>
      </c>
      <c r="Q72">
        <v>0</v>
      </c>
      <c r="S72">
        <v>1</v>
      </c>
      <c r="T72">
        <v>0</v>
      </c>
      <c r="U72">
        <v>0</v>
      </c>
      <c r="V72" t="s">
        <v>46</v>
      </c>
      <c r="W72">
        <v>0</v>
      </c>
      <c r="X72">
        <v>1</v>
      </c>
      <c r="Y72">
        <v>0</v>
      </c>
      <c r="Z72" t="s">
        <v>46</v>
      </c>
      <c r="AA72">
        <v>1</v>
      </c>
      <c r="AB72">
        <v>3</v>
      </c>
      <c r="AC72">
        <v>0</v>
      </c>
      <c r="AD72">
        <v>0</v>
      </c>
      <c r="AE72">
        <v>0</v>
      </c>
      <c r="AF72">
        <v>0</v>
      </c>
    </row>
    <row r="73" spans="1:33" x14ac:dyDescent="0.2">
      <c r="A73" t="s">
        <v>143</v>
      </c>
      <c r="B73" t="s">
        <v>41</v>
      </c>
      <c r="C73" t="s">
        <v>42</v>
      </c>
      <c r="D73">
        <v>7</v>
      </c>
      <c r="E73" t="s">
        <v>81</v>
      </c>
      <c r="F73">
        <v>1018</v>
      </c>
      <c r="G73" t="s">
        <v>68</v>
      </c>
      <c r="H73" t="s">
        <v>47</v>
      </c>
      <c r="I73">
        <v>0</v>
      </c>
      <c r="J73">
        <v>0</v>
      </c>
      <c r="K73">
        <v>0</v>
      </c>
      <c r="L73" t="s">
        <v>46</v>
      </c>
      <c r="M73" t="s">
        <v>227</v>
      </c>
      <c r="N73" t="s">
        <v>228</v>
      </c>
      <c r="O73">
        <v>0</v>
      </c>
      <c r="P73">
        <v>1</v>
      </c>
      <c r="Q73">
        <v>0</v>
      </c>
      <c r="S73">
        <v>0</v>
      </c>
      <c r="T73">
        <v>2</v>
      </c>
      <c r="U73">
        <v>27.3</v>
      </c>
      <c r="V73" t="s">
        <v>60</v>
      </c>
      <c r="W73">
        <v>2</v>
      </c>
      <c r="X73">
        <v>1</v>
      </c>
      <c r="Y73">
        <v>0</v>
      </c>
      <c r="Z73" t="s">
        <v>46</v>
      </c>
      <c r="AA73">
        <v>0</v>
      </c>
      <c r="AB73">
        <v>4</v>
      </c>
      <c r="AC73">
        <v>0</v>
      </c>
      <c r="AD73">
        <v>0</v>
      </c>
      <c r="AE73">
        <v>0</v>
      </c>
      <c r="AF73">
        <v>0</v>
      </c>
    </row>
    <row r="74" spans="1:33" x14ac:dyDescent="0.2">
      <c r="A74" t="s">
        <v>229</v>
      </c>
      <c r="B74" t="s">
        <v>41</v>
      </c>
      <c r="C74" t="s">
        <v>42</v>
      </c>
      <c r="D74">
        <v>7</v>
      </c>
      <c r="E74" t="s">
        <v>51</v>
      </c>
      <c r="F74">
        <v>135</v>
      </c>
      <c r="G74" t="s">
        <v>44</v>
      </c>
      <c r="H74" t="s">
        <v>56</v>
      </c>
      <c r="I74">
        <v>1</v>
      </c>
      <c r="J74">
        <v>0</v>
      </c>
      <c r="K74">
        <v>1</v>
      </c>
      <c r="L74" t="s">
        <v>46</v>
      </c>
      <c r="M74" t="s">
        <v>47</v>
      </c>
      <c r="N74" t="s">
        <v>230</v>
      </c>
      <c r="O74">
        <v>0</v>
      </c>
      <c r="P74">
        <v>0</v>
      </c>
      <c r="Q74">
        <v>0</v>
      </c>
      <c r="S74">
        <v>0</v>
      </c>
      <c r="T74">
        <v>3</v>
      </c>
      <c r="U74">
        <v>0</v>
      </c>
      <c r="V74" t="s">
        <v>49</v>
      </c>
      <c r="W74">
        <v>1</v>
      </c>
      <c r="X74">
        <v>2</v>
      </c>
      <c r="Y74">
        <v>0</v>
      </c>
      <c r="Z74" t="s">
        <v>46</v>
      </c>
      <c r="AA74">
        <v>1</v>
      </c>
      <c r="AB74">
        <v>3</v>
      </c>
      <c r="AC74">
        <v>1</v>
      </c>
      <c r="AD74">
        <v>0</v>
      </c>
      <c r="AE74">
        <v>0</v>
      </c>
      <c r="AF74">
        <v>1</v>
      </c>
      <c r="AG74" t="s">
        <v>231</v>
      </c>
    </row>
    <row r="75" spans="1:33" x14ac:dyDescent="0.2">
      <c r="A75" t="s">
        <v>245</v>
      </c>
      <c r="B75" t="s">
        <v>41</v>
      </c>
      <c r="C75" t="s">
        <v>42</v>
      </c>
      <c r="D75">
        <v>7</v>
      </c>
      <c r="E75" t="s">
        <v>63</v>
      </c>
      <c r="F75">
        <v>9071</v>
      </c>
      <c r="G75" t="s">
        <v>64</v>
      </c>
      <c r="H75" t="s">
        <v>47</v>
      </c>
      <c r="I75">
        <v>0</v>
      </c>
      <c r="J75">
        <v>1</v>
      </c>
      <c r="K75">
        <v>0</v>
      </c>
      <c r="L75" t="s">
        <v>46</v>
      </c>
      <c r="M75" t="s">
        <v>248</v>
      </c>
      <c r="N75" t="s">
        <v>47</v>
      </c>
      <c r="O75">
        <v>0</v>
      </c>
      <c r="P75">
        <v>0</v>
      </c>
      <c r="Q75">
        <v>1</v>
      </c>
      <c r="R75">
        <v>1018</v>
      </c>
      <c r="S75">
        <v>0</v>
      </c>
      <c r="T75">
        <v>1</v>
      </c>
      <c r="U75">
        <v>0</v>
      </c>
      <c r="V75" t="s">
        <v>46</v>
      </c>
      <c r="W75">
        <v>1</v>
      </c>
      <c r="X75">
        <v>2</v>
      </c>
      <c r="Y75">
        <v>0</v>
      </c>
      <c r="Z75" t="s">
        <v>49</v>
      </c>
      <c r="AA75">
        <v>0</v>
      </c>
      <c r="AB75">
        <v>3</v>
      </c>
      <c r="AC75">
        <v>1</v>
      </c>
      <c r="AD75">
        <v>0</v>
      </c>
      <c r="AE75">
        <v>0</v>
      </c>
      <c r="AF75">
        <v>0</v>
      </c>
      <c r="AG75" t="s">
        <v>249</v>
      </c>
    </row>
    <row r="76" spans="1:33" x14ac:dyDescent="0.2">
      <c r="A76" t="s">
        <v>76</v>
      </c>
      <c r="B76" t="s">
        <v>41</v>
      </c>
      <c r="C76" t="s">
        <v>42</v>
      </c>
      <c r="D76">
        <v>7</v>
      </c>
      <c r="E76" t="s">
        <v>43</v>
      </c>
      <c r="F76">
        <v>9208</v>
      </c>
      <c r="G76" t="s">
        <v>56</v>
      </c>
      <c r="H76" t="s">
        <v>93</v>
      </c>
      <c r="I76">
        <v>1</v>
      </c>
      <c r="J76">
        <v>0</v>
      </c>
      <c r="K76">
        <v>1</v>
      </c>
      <c r="L76" t="s">
        <v>46</v>
      </c>
      <c r="M76" t="s">
        <v>47</v>
      </c>
      <c r="N76" t="s">
        <v>208</v>
      </c>
      <c r="O76">
        <v>0</v>
      </c>
      <c r="P76">
        <v>0</v>
      </c>
      <c r="Q76">
        <v>0</v>
      </c>
      <c r="S76">
        <v>1</v>
      </c>
      <c r="T76">
        <v>0</v>
      </c>
      <c r="U76">
        <v>0</v>
      </c>
      <c r="V76" t="s">
        <v>60</v>
      </c>
      <c r="W76">
        <v>0</v>
      </c>
      <c r="X76">
        <v>2</v>
      </c>
      <c r="Y76">
        <v>0</v>
      </c>
      <c r="Z76" t="s">
        <v>46</v>
      </c>
      <c r="AA76">
        <v>0</v>
      </c>
      <c r="AB76">
        <v>4</v>
      </c>
      <c r="AC76">
        <v>0</v>
      </c>
      <c r="AD76">
        <v>0</v>
      </c>
      <c r="AE76">
        <v>0</v>
      </c>
      <c r="AF76">
        <v>1</v>
      </c>
      <c r="AG76" t="s">
        <v>209</v>
      </c>
    </row>
    <row r="77" spans="1:33" x14ac:dyDescent="0.2">
      <c r="A77" t="s">
        <v>140</v>
      </c>
      <c r="B77" t="s">
        <v>41</v>
      </c>
      <c r="C77" t="s">
        <v>42</v>
      </c>
      <c r="D77">
        <v>7</v>
      </c>
      <c r="E77" t="s">
        <v>63</v>
      </c>
      <c r="F77">
        <v>9071</v>
      </c>
      <c r="G77" t="s">
        <v>78</v>
      </c>
      <c r="H77" t="s">
        <v>47</v>
      </c>
      <c r="I77">
        <v>1</v>
      </c>
      <c r="J77">
        <v>1</v>
      </c>
      <c r="K77">
        <v>1</v>
      </c>
      <c r="L77" t="s">
        <v>46</v>
      </c>
      <c r="M77" t="s">
        <v>47</v>
      </c>
      <c r="N77" t="s">
        <v>47</v>
      </c>
      <c r="O77">
        <v>0</v>
      </c>
      <c r="P77">
        <v>0</v>
      </c>
      <c r="Q77">
        <v>1</v>
      </c>
      <c r="R77">
        <v>3176</v>
      </c>
      <c r="S77">
        <v>0</v>
      </c>
      <c r="T77">
        <v>0</v>
      </c>
      <c r="U77">
        <v>0</v>
      </c>
      <c r="V77" t="s">
        <v>46</v>
      </c>
      <c r="W77">
        <v>0</v>
      </c>
      <c r="X77">
        <v>1</v>
      </c>
      <c r="Y77">
        <v>0</v>
      </c>
      <c r="Z77" t="s">
        <v>54</v>
      </c>
      <c r="AA77">
        <v>0</v>
      </c>
      <c r="AB77">
        <v>1</v>
      </c>
      <c r="AC77">
        <v>1</v>
      </c>
      <c r="AD77">
        <v>1</v>
      </c>
      <c r="AE77">
        <v>0</v>
      </c>
      <c r="AF77">
        <v>0</v>
      </c>
      <c r="AG77" t="s">
        <v>221</v>
      </c>
    </row>
    <row r="78" spans="1:33" x14ac:dyDescent="0.2">
      <c r="A78" t="s">
        <v>148</v>
      </c>
      <c r="B78" t="s">
        <v>41</v>
      </c>
      <c r="C78" t="s">
        <v>42</v>
      </c>
      <c r="D78">
        <v>8</v>
      </c>
      <c r="E78" t="s">
        <v>63</v>
      </c>
      <c r="F78">
        <v>9119</v>
      </c>
      <c r="G78" t="s">
        <v>232</v>
      </c>
      <c r="H78" t="s">
        <v>47</v>
      </c>
      <c r="I78">
        <v>0</v>
      </c>
      <c r="J78">
        <v>0</v>
      </c>
      <c r="K78">
        <v>0</v>
      </c>
      <c r="L78" t="s">
        <v>46</v>
      </c>
      <c r="M78" t="s">
        <v>47</v>
      </c>
      <c r="N78" t="s">
        <v>47</v>
      </c>
      <c r="O78">
        <v>0</v>
      </c>
      <c r="P78">
        <v>0</v>
      </c>
      <c r="Q78">
        <v>0</v>
      </c>
      <c r="S78">
        <v>0</v>
      </c>
      <c r="U78">
        <v>0</v>
      </c>
      <c r="V78" t="s">
        <v>46</v>
      </c>
      <c r="W78">
        <v>0</v>
      </c>
      <c r="Y78">
        <v>0</v>
      </c>
      <c r="Z78" t="s">
        <v>46</v>
      </c>
      <c r="AA78">
        <v>0</v>
      </c>
      <c r="AB78">
        <v>1</v>
      </c>
      <c r="AC78">
        <v>0</v>
      </c>
      <c r="AD78">
        <v>0</v>
      </c>
      <c r="AE78">
        <v>0</v>
      </c>
      <c r="AF78">
        <v>0</v>
      </c>
      <c r="AG78" t="s">
        <v>233</v>
      </c>
    </row>
    <row r="79" spans="1:33" x14ac:dyDescent="0.2">
      <c r="A79" t="s">
        <v>40</v>
      </c>
      <c r="B79" t="s">
        <v>41</v>
      </c>
      <c r="C79" t="s">
        <v>42</v>
      </c>
      <c r="D79">
        <v>8</v>
      </c>
      <c r="E79" t="s">
        <v>43</v>
      </c>
      <c r="F79">
        <v>4926</v>
      </c>
      <c r="G79" t="s">
        <v>78</v>
      </c>
      <c r="H79" t="s">
        <v>47</v>
      </c>
      <c r="I79">
        <v>0</v>
      </c>
      <c r="J79">
        <v>1</v>
      </c>
      <c r="K79">
        <v>0</v>
      </c>
      <c r="L79" t="s">
        <v>60</v>
      </c>
      <c r="M79" t="s">
        <v>47</v>
      </c>
      <c r="N79" t="s">
        <v>234</v>
      </c>
      <c r="O79">
        <v>0</v>
      </c>
      <c r="P79">
        <v>0</v>
      </c>
      <c r="Q79">
        <v>0</v>
      </c>
      <c r="S79">
        <v>1</v>
      </c>
      <c r="T79">
        <v>2</v>
      </c>
      <c r="U79">
        <v>0</v>
      </c>
      <c r="V79" t="s">
        <v>46</v>
      </c>
      <c r="W79">
        <v>1</v>
      </c>
      <c r="X79">
        <v>1</v>
      </c>
      <c r="Y79">
        <v>1</v>
      </c>
      <c r="Z79" t="s">
        <v>46</v>
      </c>
      <c r="AA79">
        <v>0</v>
      </c>
      <c r="AB79">
        <v>3</v>
      </c>
      <c r="AC79">
        <v>0</v>
      </c>
      <c r="AD79">
        <v>0</v>
      </c>
      <c r="AE79">
        <v>0</v>
      </c>
      <c r="AF79">
        <v>1</v>
      </c>
      <c r="AG79" t="s">
        <v>235</v>
      </c>
    </row>
    <row r="80" spans="1:33" x14ac:dyDescent="0.2">
      <c r="A80" t="s">
        <v>66</v>
      </c>
      <c r="B80" t="s">
        <v>41</v>
      </c>
      <c r="C80" t="s">
        <v>42</v>
      </c>
      <c r="D80">
        <v>8</v>
      </c>
      <c r="E80" t="s">
        <v>67</v>
      </c>
      <c r="F80">
        <v>4982</v>
      </c>
      <c r="G80" t="s">
        <v>71</v>
      </c>
      <c r="H80" t="s">
        <v>47</v>
      </c>
      <c r="I80">
        <v>0</v>
      </c>
      <c r="J80">
        <v>0</v>
      </c>
      <c r="K80">
        <v>0</v>
      </c>
      <c r="L80" t="s">
        <v>46</v>
      </c>
      <c r="M80" t="s">
        <v>47</v>
      </c>
      <c r="N80" t="s">
        <v>47</v>
      </c>
      <c r="O80">
        <v>0</v>
      </c>
      <c r="P80">
        <v>0</v>
      </c>
      <c r="Q80">
        <v>0</v>
      </c>
      <c r="S80">
        <v>0</v>
      </c>
      <c r="T80">
        <v>2</v>
      </c>
      <c r="U80">
        <v>0</v>
      </c>
      <c r="V80" t="s">
        <v>46</v>
      </c>
      <c r="W80">
        <v>2</v>
      </c>
      <c r="X80">
        <v>0</v>
      </c>
      <c r="Y80">
        <v>0</v>
      </c>
      <c r="Z80" t="s">
        <v>54</v>
      </c>
      <c r="AA80">
        <v>0</v>
      </c>
      <c r="AB80">
        <v>1</v>
      </c>
      <c r="AC80">
        <v>1</v>
      </c>
      <c r="AD80">
        <v>0</v>
      </c>
      <c r="AE80">
        <v>1</v>
      </c>
      <c r="AF80">
        <v>0</v>
      </c>
      <c r="AG80" t="s">
        <v>236</v>
      </c>
    </row>
    <row r="81" spans="1:33" x14ac:dyDescent="0.2">
      <c r="A81" t="s">
        <v>76</v>
      </c>
      <c r="B81" t="s">
        <v>41</v>
      </c>
      <c r="C81" t="s">
        <v>42</v>
      </c>
      <c r="D81">
        <v>8</v>
      </c>
      <c r="E81" t="s">
        <v>43</v>
      </c>
      <c r="F81">
        <v>4926</v>
      </c>
      <c r="G81" t="s">
        <v>64</v>
      </c>
      <c r="H81" t="s">
        <v>47</v>
      </c>
      <c r="I81">
        <v>0</v>
      </c>
      <c r="J81">
        <v>0</v>
      </c>
      <c r="K81">
        <v>1</v>
      </c>
      <c r="L81" t="s">
        <v>60</v>
      </c>
      <c r="M81" t="s">
        <v>47</v>
      </c>
      <c r="N81" t="s">
        <v>234</v>
      </c>
      <c r="O81">
        <v>0</v>
      </c>
      <c r="P81">
        <v>0</v>
      </c>
      <c r="Q81">
        <v>0</v>
      </c>
      <c r="S81">
        <v>1</v>
      </c>
      <c r="T81">
        <v>2</v>
      </c>
      <c r="U81">
        <v>0</v>
      </c>
      <c r="V81" t="s">
        <v>49</v>
      </c>
      <c r="W81">
        <v>0</v>
      </c>
      <c r="X81">
        <v>2</v>
      </c>
      <c r="Y81">
        <v>0</v>
      </c>
      <c r="Z81" t="s">
        <v>181</v>
      </c>
      <c r="AA81">
        <v>0</v>
      </c>
      <c r="AB81">
        <v>4</v>
      </c>
      <c r="AC81">
        <v>0</v>
      </c>
      <c r="AD81">
        <v>0</v>
      </c>
      <c r="AE81">
        <v>0</v>
      </c>
      <c r="AF81">
        <v>1</v>
      </c>
    </row>
    <row r="82" spans="1:33" x14ac:dyDescent="0.2">
      <c r="A82" t="s">
        <v>222</v>
      </c>
      <c r="B82" t="s">
        <v>41</v>
      </c>
      <c r="C82" t="s">
        <v>42</v>
      </c>
      <c r="D82">
        <v>8</v>
      </c>
      <c r="E82" t="s">
        <v>51</v>
      </c>
      <c r="F82">
        <v>910</v>
      </c>
      <c r="G82" t="s">
        <v>44</v>
      </c>
      <c r="H82" t="s">
        <v>47</v>
      </c>
      <c r="I82">
        <v>1</v>
      </c>
      <c r="J82">
        <v>0</v>
      </c>
      <c r="K82">
        <v>1</v>
      </c>
      <c r="L82" t="s">
        <v>46</v>
      </c>
      <c r="M82" t="s">
        <v>47</v>
      </c>
      <c r="N82" t="s">
        <v>237</v>
      </c>
      <c r="O82">
        <v>0</v>
      </c>
      <c r="P82">
        <v>0</v>
      </c>
      <c r="Q82">
        <v>0</v>
      </c>
      <c r="S82">
        <v>0</v>
      </c>
      <c r="T82">
        <v>0</v>
      </c>
      <c r="U82">
        <v>0</v>
      </c>
      <c r="V82" t="s">
        <v>49</v>
      </c>
      <c r="W82">
        <v>0</v>
      </c>
      <c r="X82">
        <v>1</v>
      </c>
      <c r="Y82">
        <v>0</v>
      </c>
      <c r="Z82" t="s">
        <v>46</v>
      </c>
      <c r="AA82">
        <v>0</v>
      </c>
      <c r="AB82">
        <v>4</v>
      </c>
      <c r="AC82">
        <v>0</v>
      </c>
      <c r="AD82">
        <v>0</v>
      </c>
      <c r="AE82">
        <v>0</v>
      </c>
      <c r="AF82">
        <v>0</v>
      </c>
    </row>
    <row r="83" spans="1:33" x14ac:dyDescent="0.2">
      <c r="A83" t="s">
        <v>158</v>
      </c>
      <c r="B83" t="s">
        <v>41</v>
      </c>
      <c r="C83" t="s">
        <v>42</v>
      </c>
      <c r="D83">
        <v>8</v>
      </c>
      <c r="E83" t="s">
        <v>67</v>
      </c>
      <c r="F83">
        <v>4982</v>
      </c>
      <c r="G83" t="s">
        <v>217</v>
      </c>
      <c r="H83" t="s">
        <v>47</v>
      </c>
      <c r="I83">
        <v>0</v>
      </c>
      <c r="J83">
        <v>0</v>
      </c>
      <c r="K83">
        <v>0</v>
      </c>
      <c r="L83" t="s">
        <v>46</v>
      </c>
      <c r="M83" t="s">
        <v>47</v>
      </c>
      <c r="N83" t="s">
        <v>47</v>
      </c>
      <c r="O83">
        <v>0</v>
      </c>
      <c r="P83">
        <v>0</v>
      </c>
      <c r="Q83">
        <v>0</v>
      </c>
      <c r="S83">
        <v>0</v>
      </c>
      <c r="T83">
        <v>2</v>
      </c>
      <c r="U83">
        <v>0</v>
      </c>
      <c r="V83" t="s">
        <v>141</v>
      </c>
      <c r="W83">
        <v>2</v>
      </c>
      <c r="X83">
        <v>0</v>
      </c>
      <c r="Y83">
        <v>0</v>
      </c>
      <c r="Z83" t="s">
        <v>46</v>
      </c>
      <c r="AA83">
        <v>0</v>
      </c>
      <c r="AB83">
        <v>3</v>
      </c>
      <c r="AC83">
        <v>1</v>
      </c>
      <c r="AD83">
        <v>0</v>
      </c>
      <c r="AE83">
        <v>0</v>
      </c>
      <c r="AF83">
        <v>0</v>
      </c>
    </row>
    <row r="84" spans="1:33" x14ac:dyDescent="0.2">
      <c r="A84" t="s">
        <v>80</v>
      </c>
      <c r="B84" t="s">
        <v>271</v>
      </c>
      <c r="C84" t="s">
        <v>42</v>
      </c>
      <c r="D84">
        <v>8</v>
      </c>
      <c r="E84" t="s">
        <v>81</v>
      </c>
      <c r="F84">
        <v>2197</v>
      </c>
      <c r="G84" t="s">
        <v>68</v>
      </c>
      <c r="H84" t="s">
        <v>47</v>
      </c>
      <c r="I84">
        <v>1</v>
      </c>
      <c r="J84">
        <v>1</v>
      </c>
      <c r="K84">
        <v>1</v>
      </c>
      <c r="L84" t="s">
        <v>49</v>
      </c>
      <c r="M84" t="s">
        <v>47</v>
      </c>
      <c r="N84" t="s">
        <v>47</v>
      </c>
      <c r="O84">
        <v>0</v>
      </c>
      <c r="P84">
        <v>1</v>
      </c>
      <c r="Q84">
        <v>0</v>
      </c>
      <c r="S84">
        <v>0</v>
      </c>
      <c r="T84" t="s">
        <v>46</v>
      </c>
      <c r="U84">
        <v>25.6</v>
      </c>
      <c r="V84" t="s">
        <v>60</v>
      </c>
      <c r="W84">
        <v>2</v>
      </c>
      <c r="X84" t="s">
        <v>49</v>
      </c>
      <c r="Y84">
        <v>0</v>
      </c>
      <c r="Z84" t="s">
        <v>46</v>
      </c>
      <c r="AA84">
        <v>0</v>
      </c>
      <c r="AB84">
        <v>5</v>
      </c>
      <c r="AC84">
        <v>0</v>
      </c>
      <c r="AD84">
        <v>0</v>
      </c>
      <c r="AE84">
        <v>1</v>
      </c>
      <c r="AF84">
        <v>0</v>
      </c>
      <c r="AG84" t="s">
        <v>241</v>
      </c>
    </row>
    <row r="85" spans="1:33" x14ac:dyDescent="0.2">
      <c r="A85" t="s">
        <v>229</v>
      </c>
      <c r="B85" t="s">
        <v>41</v>
      </c>
      <c r="C85" t="s">
        <v>42</v>
      </c>
      <c r="D85">
        <v>8</v>
      </c>
      <c r="E85" t="s">
        <v>51</v>
      </c>
      <c r="F85">
        <v>910</v>
      </c>
      <c r="G85" t="s">
        <v>44</v>
      </c>
      <c r="H85" t="s">
        <v>47</v>
      </c>
      <c r="I85">
        <v>1</v>
      </c>
      <c r="J85">
        <v>0</v>
      </c>
      <c r="K85">
        <v>0</v>
      </c>
      <c r="L85" t="s">
        <v>46</v>
      </c>
      <c r="M85" t="s">
        <v>242</v>
      </c>
      <c r="N85" t="s">
        <v>243</v>
      </c>
      <c r="O85">
        <v>0</v>
      </c>
      <c r="P85">
        <v>1</v>
      </c>
      <c r="Q85">
        <v>0</v>
      </c>
      <c r="S85">
        <v>1</v>
      </c>
      <c r="T85">
        <v>3</v>
      </c>
      <c r="U85">
        <v>6.8</v>
      </c>
      <c r="V85" t="s">
        <v>49</v>
      </c>
      <c r="W85">
        <v>0</v>
      </c>
      <c r="X85">
        <v>2</v>
      </c>
      <c r="Y85">
        <v>1</v>
      </c>
      <c r="Z85" t="s">
        <v>46</v>
      </c>
      <c r="AA85">
        <v>1</v>
      </c>
      <c r="AB85">
        <v>4</v>
      </c>
      <c r="AC85">
        <v>0</v>
      </c>
      <c r="AD85">
        <v>0</v>
      </c>
      <c r="AE85">
        <v>0</v>
      </c>
      <c r="AF85">
        <v>1</v>
      </c>
      <c r="AG85" t="s">
        <v>244</v>
      </c>
    </row>
    <row r="86" spans="1:33" x14ac:dyDescent="0.2">
      <c r="A86" t="s">
        <v>143</v>
      </c>
      <c r="B86" t="s">
        <v>41</v>
      </c>
      <c r="C86" t="s">
        <v>42</v>
      </c>
      <c r="D86">
        <v>8</v>
      </c>
      <c r="E86" t="s">
        <v>81</v>
      </c>
      <c r="F86">
        <v>2197</v>
      </c>
      <c r="G86" t="s">
        <v>68</v>
      </c>
      <c r="H86" t="s">
        <v>47</v>
      </c>
      <c r="I86">
        <v>0</v>
      </c>
      <c r="J86">
        <v>1</v>
      </c>
      <c r="K86">
        <v>1</v>
      </c>
      <c r="L86" t="s">
        <v>46</v>
      </c>
      <c r="M86" t="s">
        <v>47</v>
      </c>
      <c r="N86" t="s">
        <v>47</v>
      </c>
      <c r="O86">
        <v>1</v>
      </c>
      <c r="P86">
        <v>1</v>
      </c>
      <c r="Q86">
        <v>0</v>
      </c>
      <c r="S86">
        <v>0</v>
      </c>
      <c r="T86">
        <v>0</v>
      </c>
      <c r="U86">
        <v>27.5</v>
      </c>
      <c r="V86" t="s">
        <v>60</v>
      </c>
      <c r="W86">
        <v>2</v>
      </c>
      <c r="X86">
        <v>2</v>
      </c>
      <c r="Y86">
        <v>0</v>
      </c>
      <c r="Z86" t="s">
        <v>46</v>
      </c>
      <c r="AA86">
        <v>0</v>
      </c>
      <c r="AB86">
        <v>5</v>
      </c>
      <c r="AC86">
        <v>0</v>
      </c>
      <c r="AD86">
        <v>0</v>
      </c>
      <c r="AE86">
        <v>0</v>
      </c>
      <c r="AF86">
        <v>1</v>
      </c>
    </row>
    <row r="87" spans="1:33" x14ac:dyDescent="0.2">
      <c r="A87" t="s">
        <v>245</v>
      </c>
      <c r="B87" t="s">
        <v>41</v>
      </c>
      <c r="C87" t="s">
        <v>42</v>
      </c>
      <c r="D87">
        <v>8</v>
      </c>
      <c r="E87" t="s">
        <v>63</v>
      </c>
      <c r="F87">
        <v>9919</v>
      </c>
      <c r="G87" t="s">
        <v>56</v>
      </c>
      <c r="H87" t="s">
        <v>47</v>
      </c>
      <c r="I87">
        <v>0</v>
      </c>
      <c r="J87">
        <v>0</v>
      </c>
      <c r="K87">
        <v>0</v>
      </c>
      <c r="L87" t="s">
        <v>46</v>
      </c>
      <c r="M87" t="s">
        <v>47</v>
      </c>
      <c r="N87" t="s">
        <v>47</v>
      </c>
      <c r="O87">
        <v>0</v>
      </c>
      <c r="P87">
        <v>0</v>
      </c>
      <c r="Q87">
        <v>0</v>
      </c>
      <c r="S87">
        <v>0</v>
      </c>
      <c r="T87">
        <v>0</v>
      </c>
      <c r="U87">
        <v>0</v>
      </c>
      <c r="V87" t="s">
        <v>46</v>
      </c>
      <c r="W87">
        <v>0</v>
      </c>
      <c r="X87">
        <v>-1</v>
      </c>
      <c r="Y87">
        <v>0</v>
      </c>
      <c r="Z87" t="s">
        <v>46</v>
      </c>
      <c r="AA87">
        <v>0</v>
      </c>
      <c r="AB87">
        <v>3</v>
      </c>
      <c r="AC87">
        <v>0</v>
      </c>
      <c r="AD87">
        <v>0</v>
      </c>
      <c r="AE87">
        <v>0</v>
      </c>
      <c r="AF87">
        <v>0</v>
      </c>
      <c r="AG87" t="s">
        <v>250</v>
      </c>
    </row>
    <row r="88" spans="1:33" x14ac:dyDescent="0.2">
      <c r="A88" t="s">
        <v>211</v>
      </c>
      <c r="B88" t="s">
        <v>41</v>
      </c>
      <c r="C88" t="s">
        <v>42</v>
      </c>
      <c r="D88">
        <v>8</v>
      </c>
      <c r="E88" t="s">
        <v>85</v>
      </c>
      <c r="F88">
        <v>6956</v>
      </c>
      <c r="G88" t="s">
        <v>106</v>
      </c>
      <c r="H88" t="s">
        <v>47</v>
      </c>
      <c r="I88">
        <v>1</v>
      </c>
      <c r="J88">
        <v>0</v>
      </c>
      <c r="K88">
        <v>1</v>
      </c>
      <c r="L88" t="s">
        <v>46</v>
      </c>
      <c r="M88" t="s">
        <v>47</v>
      </c>
      <c r="N88" t="s">
        <v>238</v>
      </c>
      <c r="O88">
        <v>0</v>
      </c>
      <c r="P88">
        <v>0</v>
      </c>
      <c r="Q88">
        <v>0</v>
      </c>
      <c r="S88">
        <v>1</v>
      </c>
      <c r="T88">
        <v>1</v>
      </c>
      <c r="U88">
        <v>2.2000000000000002</v>
      </c>
      <c r="V88" t="s">
        <v>60</v>
      </c>
      <c r="W88">
        <v>2</v>
      </c>
      <c r="X88">
        <v>1</v>
      </c>
      <c r="Y88">
        <v>0</v>
      </c>
      <c r="Z88" t="s">
        <v>46</v>
      </c>
      <c r="AA88">
        <v>0</v>
      </c>
      <c r="AB88">
        <v>3</v>
      </c>
      <c r="AC88">
        <v>0</v>
      </c>
      <c r="AD88">
        <v>1</v>
      </c>
      <c r="AE88">
        <v>1</v>
      </c>
      <c r="AF88">
        <v>0</v>
      </c>
      <c r="AG88" t="s">
        <v>239</v>
      </c>
    </row>
    <row r="89" spans="1:33" x14ac:dyDescent="0.2">
      <c r="A89" t="s">
        <v>97</v>
      </c>
      <c r="B89" t="s">
        <v>41</v>
      </c>
      <c r="C89" t="s">
        <v>42</v>
      </c>
      <c r="D89">
        <v>8</v>
      </c>
      <c r="E89" t="s">
        <v>85</v>
      </c>
      <c r="F89">
        <v>6956</v>
      </c>
      <c r="G89" t="s">
        <v>106</v>
      </c>
      <c r="H89" t="s">
        <v>47</v>
      </c>
      <c r="I89">
        <v>1</v>
      </c>
      <c r="J89">
        <v>1</v>
      </c>
      <c r="K89">
        <v>1</v>
      </c>
      <c r="L89" t="s">
        <v>46</v>
      </c>
      <c r="M89" t="s">
        <v>240</v>
      </c>
      <c r="N89" t="s">
        <v>93</v>
      </c>
      <c r="O89">
        <v>0</v>
      </c>
      <c r="P89">
        <v>1</v>
      </c>
      <c r="Q89">
        <v>0</v>
      </c>
      <c r="S89">
        <v>1</v>
      </c>
      <c r="U89">
        <v>14</v>
      </c>
      <c r="V89" t="s">
        <v>60</v>
      </c>
      <c r="W89">
        <v>2</v>
      </c>
      <c r="X89">
        <v>1</v>
      </c>
      <c r="Y89">
        <v>0</v>
      </c>
      <c r="Z89" t="s">
        <v>46</v>
      </c>
      <c r="AA89">
        <v>0</v>
      </c>
      <c r="AB89">
        <v>3</v>
      </c>
      <c r="AC89">
        <v>0</v>
      </c>
      <c r="AD89">
        <v>1</v>
      </c>
      <c r="AE89">
        <v>0</v>
      </c>
      <c r="AF89">
        <v>1</v>
      </c>
    </row>
    <row r="90" spans="1:33" x14ac:dyDescent="0.2">
      <c r="A90" t="s">
        <v>180</v>
      </c>
      <c r="B90" t="s">
        <v>41</v>
      </c>
      <c r="C90" t="s">
        <v>42</v>
      </c>
      <c r="D90">
        <v>9</v>
      </c>
      <c r="E90" t="s">
        <v>43</v>
      </c>
      <c r="F90">
        <v>461</v>
      </c>
      <c r="G90" t="s">
        <v>64</v>
      </c>
      <c r="H90" t="s">
        <v>129</v>
      </c>
      <c r="I90">
        <v>0</v>
      </c>
      <c r="J90">
        <v>1</v>
      </c>
      <c r="K90">
        <v>0</v>
      </c>
      <c r="L90" t="s">
        <v>49</v>
      </c>
      <c r="M90" t="s">
        <v>47</v>
      </c>
      <c r="N90" t="s">
        <v>251</v>
      </c>
      <c r="O90">
        <v>0</v>
      </c>
      <c r="P90">
        <v>0</v>
      </c>
      <c r="Q90">
        <v>0</v>
      </c>
      <c r="S90">
        <v>1</v>
      </c>
      <c r="T90">
        <v>2</v>
      </c>
      <c r="U90">
        <v>0</v>
      </c>
      <c r="V90" t="s">
        <v>49</v>
      </c>
      <c r="W90">
        <v>0</v>
      </c>
      <c r="X90">
        <v>2</v>
      </c>
      <c r="Y90">
        <v>2</v>
      </c>
      <c r="Z90" t="s">
        <v>46</v>
      </c>
      <c r="AA90">
        <v>1</v>
      </c>
      <c r="AB90">
        <v>3</v>
      </c>
      <c r="AC90">
        <v>0</v>
      </c>
      <c r="AD90">
        <v>0</v>
      </c>
      <c r="AE90">
        <v>0</v>
      </c>
      <c r="AF90">
        <v>0</v>
      </c>
      <c r="AG90" t="s">
        <v>252</v>
      </c>
    </row>
    <row r="91" spans="1:33" x14ac:dyDescent="0.2">
      <c r="A91" t="s">
        <v>167</v>
      </c>
      <c r="B91" t="s">
        <v>41</v>
      </c>
      <c r="C91" t="s">
        <v>42</v>
      </c>
      <c r="D91">
        <v>9</v>
      </c>
      <c r="E91" t="s">
        <v>85</v>
      </c>
      <c r="F91">
        <v>2909</v>
      </c>
      <c r="G91" t="s">
        <v>255</v>
      </c>
      <c r="H91" t="s">
        <v>47</v>
      </c>
      <c r="I91">
        <v>0</v>
      </c>
      <c r="J91">
        <v>0</v>
      </c>
      <c r="K91">
        <v>0</v>
      </c>
      <c r="L91" t="s">
        <v>46</v>
      </c>
      <c r="M91" t="s">
        <v>256</v>
      </c>
      <c r="N91" t="s">
        <v>257</v>
      </c>
      <c r="O91">
        <v>0</v>
      </c>
      <c r="P91">
        <v>0</v>
      </c>
      <c r="Q91">
        <v>0</v>
      </c>
      <c r="S91">
        <v>0</v>
      </c>
      <c r="T91">
        <v>1</v>
      </c>
      <c r="U91">
        <v>12.3</v>
      </c>
      <c r="V91" t="s">
        <v>60</v>
      </c>
      <c r="W91">
        <v>2</v>
      </c>
      <c r="X91">
        <v>1</v>
      </c>
      <c r="Y91">
        <v>0</v>
      </c>
      <c r="Z91" t="s">
        <v>49</v>
      </c>
      <c r="AA91">
        <v>0</v>
      </c>
      <c r="AB91">
        <v>2</v>
      </c>
      <c r="AC91">
        <v>0</v>
      </c>
      <c r="AD91">
        <v>0</v>
      </c>
      <c r="AE91">
        <v>1</v>
      </c>
      <c r="AF91">
        <v>0</v>
      </c>
      <c r="AG91" t="s">
        <v>258</v>
      </c>
    </row>
    <row r="92" spans="1:33" x14ac:dyDescent="0.2">
      <c r="A92" t="s">
        <v>259</v>
      </c>
      <c r="B92" t="s">
        <v>41</v>
      </c>
      <c r="C92" t="s">
        <v>42</v>
      </c>
      <c r="D92">
        <v>9</v>
      </c>
      <c r="E92" t="s">
        <v>85</v>
      </c>
      <c r="F92">
        <v>2909</v>
      </c>
      <c r="G92" t="s">
        <v>106</v>
      </c>
      <c r="H92" t="s">
        <v>47</v>
      </c>
      <c r="I92">
        <v>1</v>
      </c>
      <c r="J92">
        <v>1</v>
      </c>
      <c r="K92">
        <v>1</v>
      </c>
      <c r="L92" t="s">
        <v>46</v>
      </c>
      <c r="M92" t="s">
        <v>47</v>
      </c>
      <c r="N92" t="s">
        <v>57</v>
      </c>
      <c r="O92">
        <v>0</v>
      </c>
      <c r="P92">
        <v>1</v>
      </c>
      <c r="Q92">
        <v>0</v>
      </c>
      <c r="S92">
        <v>0</v>
      </c>
      <c r="T92">
        <v>1</v>
      </c>
      <c r="U92">
        <v>12.9</v>
      </c>
      <c r="V92" t="s">
        <v>60</v>
      </c>
      <c r="W92">
        <v>2</v>
      </c>
      <c r="X92">
        <v>0</v>
      </c>
      <c r="Y92">
        <v>0</v>
      </c>
      <c r="Z92" t="s">
        <v>46</v>
      </c>
      <c r="AA92">
        <v>0</v>
      </c>
      <c r="AB92">
        <v>2</v>
      </c>
      <c r="AC92">
        <v>0</v>
      </c>
      <c r="AD92">
        <v>0</v>
      </c>
      <c r="AE92">
        <v>1</v>
      </c>
      <c r="AF92">
        <v>0</v>
      </c>
      <c r="AG92" t="s">
        <v>260</v>
      </c>
    </row>
    <row r="93" spans="1:33" x14ac:dyDescent="0.2">
      <c r="A93" t="s">
        <v>245</v>
      </c>
      <c r="B93" t="s">
        <v>41</v>
      </c>
      <c r="C93" t="s">
        <v>42</v>
      </c>
      <c r="D93">
        <v>9</v>
      </c>
      <c r="E93" t="s">
        <v>63</v>
      </c>
      <c r="F93">
        <v>3936</v>
      </c>
      <c r="G93" t="s">
        <v>64</v>
      </c>
      <c r="H93" t="s">
        <v>47</v>
      </c>
      <c r="I93">
        <v>0</v>
      </c>
      <c r="J93">
        <v>0</v>
      </c>
      <c r="K93">
        <v>0</v>
      </c>
      <c r="L93" t="s">
        <v>46</v>
      </c>
      <c r="M93" t="s">
        <v>261</v>
      </c>
      <c r="N93" t="s">
        <v>262</v>
      </c>
      <c r="O93">
        <v>0</v>
      </c>
      <c r="P93">
        <v>0</v>
      </c>
      <c r="Q93">
        <v>0</v>
      </c>
      <c r="S93">
        <v>1</v>
      </c>
      <c r="U93">
        <v>0</v>
      </c>
      <c r="V93" t="s">
        <v>53</v>
      </c>
      <c r="W93">
        <v>3</v>
      </c>
      <c r="X93">
        <v>1</v>
      </c>
      <c r="Y93">
        <v>1</v>
      </c>
      <c r="Z93" t="s">
        <v>46</v>
      </c>
      <c r="AA93">
        <v>0</v>
      </c>
      <c r="AB93">
        <v>3</v>
      </c>
      <c r="AC93">
        <v>0</v>
      </c>
      <c r="AD93">
        <v>0</v>
      </c>
      <c r="AE93">
        <v>0</v>
      </c>
      <c r="AF93">
        <v>1</v>
      </c>
      <c r="AG93" t="s">
        <v>263</v>
      </c>
    </row>
    <row r="94" spans="1:33" x14ac:dyDescent="0.2">
      <c r="A94" t="s">
        <v>264</v>
      </c>
      <c r="B94" t="s">
        <v>41</v>
      </c>
      <c r="C94" t="s">
        <v>42</v>
      </c>
      <c r="D94">
        <v>9</v>
      </c>
      <c r="E94" t="s">
        <v>43</v>
      </c>
      <c r="F94">
        <v>461</v>
      </c>
      <c r="G94" t="s">
        <v>64</v>
      </c>
      <c r="H94" t="s">
        <v>47</v>
      </c>
      <c r="I94">
        <v>0</v>
      </c>
      <c r="J94">
        <v>0</v>
      </c>
      <c r="K94">
        <v>0</v>
      </c>
      <c r="L94" t="s">
        <v>46</v>
      </c>
      <c r="M94" t="s">
        <v>265</v>
      </c>
      <c r="N94" t="s">
        <v>266</v>
      </c>
      <c r="O94">
        <v>0</v>
      </c>
      <c r="P94">
        <v>1</v>
      </c>
      <c r="Q94">
        <v>0</v>
      </c>
      <c r="S94">
        <v>0</v>
      </c>
      <c r="T94">
        <v>0</v>
      </c>
      <c r="U94">
        <v>0</v>
      </c>
      <c r="V94" t="s">
        <v>53</v>
      </c>
      <c r="W94">
        <v>2</v>
      </c>
      <c r="X94">
        <v>2</v>
      </c>
      <c r="Y94">
        <v>4</v>
      </c>
      <c r="Z94" t="s">
        <v>60</v>
      </c>
      <c r="AA94">
        <v>1</v>
      </c>
      <c r="AB94">
        <v>3</v>
      </c>
      <c r="AC94">
        <v>0</v>
      </c>
      <c r="AD94">
        <v>0</v>
      </c>
      <c r="AE94">
        <v>0</v>
      </c>
      <c r="AF94">
        <v>0</v>
      </c>
    </row>
    <row r="95" spans="1:33" x14ac:dyDescent="0.2">
      <c r="A95" t="s">
        <v>229</v>
      </c>
      <c r="B95" t="s">
        <v>41</v>
      </c>
      <c r="C95" t="s">
        <v>42</v>
      </c>
      <c r="D95">
        <v>9</v>
      </c>
      <c r="E95" t="s">
        <v>51</v>
      </c>
      <c r="F95">
        <v>2867</v>
      </c>
      <c r="G95" t="s">
        <v>267</v>
      </c>
      <c r="H95" t="s">
        <v>47</v>
      </c>
      <c r="I95">
        <v>1</v>
      </c>
      <c r="J95">
        <v>0</v>
      </c>
      <c r="K95">
        <v>0</v>
      </c>
      <c r="L95" t="s">
        <v>46</v>
      </c>
      <c r="M95" t="s">
        <v>47</v>
      </c>
      <c r="N95" t="s">
        <v>268</v>
      </c>
      <c r="O95">
        <v>0</v>
      </c>
      <c r="P95">
        <v>0</v>
      </c>
      <c r="Q95">
        <v>1</v>
      </c>
      <c r="R95" t="s">
        <v>269</v>
      </c>
      <c r="S95">
        <v>0</v>
      </c>
      <c r="T95">
        <v>3</v>
      </c>
      <c r="U95">
        <v>0</v>
      </c>
      <c r="V95" t="s">
        <v>53</v>
      </c>
      <c r="W95">
        <v>3</v>
      </c>
      <c r="X95">
        <v>1</v>
      </c>
      <c r="Y95">
        <v>0</v>
      </c>
      <c r="Z95" t="s">
        <v>46</v>
      </c>
      <c r="AA95">
        <v>0</v>
      </c>
      <c r="AB95">
        <v>3</v>
      </c>
      <c r="AC95">
        <v>0</v>
      </c>
      <c r="AD95">
        <v>0</v>
      </c>
      <c r="AE95">
        <v>0</v>
      </c>
      <c r="AF95">
        <v>0</v>
      </c>
    </row>
    <row r="96" spans="1:33" x14ac:dyDescent="0.2">
      <c r="A96" t="s">
        <v>137</v>
      </c>
      <c r="B96" t="s">
        <v>41</v>
      </c>
      <c r="C96" t="s">
        <v>42</v>
      </c>
      <c r="D96">
        <v>9</v>
      </c>
      <c r="E96" t="s">
        <v>81</v>
      </c>
      <c r="F96">
        <v>7477</v>
      </c>
      <c r="G96" t="s">
        <v>93</v>
      </c>
      <c r="H96" t="s">
        <v>47</v>
      </c>
      <c r="I96">
        <v>0</v>
      </c>
      <c r="J96">
        <v>0</v>
      </c>
      <c r="K96">
        <v>0</v>
      </c>
      <c r="L96" t="s">
        <v>46</v>
      </c>
      <c r="M96" t="s">
        <v>270</v>
      </c>
      <c r="N96" t="s">
        <v>57</v>
      </c>
      <c r="O96">
        <v>0</v>
      </c>
      <c r="P96">
        <v>0</v>
      </c>
      <c r="Q96">
        <v>0</v>
      </c>
      <c r="S96">
        <v>0</v>
      </c>
      <c r="T96">
        <v>0</v>
      </c>
      <c r="U96">
        <v>0</v>
      </c>
      <c r="V96" t="s">
        <v>141</v>
      </c>
      <c r="W96">
        <v>2</v>
      </c>
      <c r="X96">
        <v>0</v>
      </c>
      <c r="Y96">
        <v>0</v>
      </c>
      <c r="Z96" t="s">
        <v>46</v>
      </c>
      <c r="AA96">
        <v>0</v>
      </c>
      <c r="AB96">
        <v>2</v>
      </c>
      <c r="AC96">
        <v>0</v>
      </c>
      <c r="AD96">
        <v>0</v>
      </c>
      <c r="AE96">
        <v>0</v>
      </c>
      <c r="AF96">
        <v>0</v>
      </c>
    </row>
    <row r="97" spans="1:33" x14ac:dyDescent="0.2">
      <c r="A97" t="s">
        <v>272</v>
      </c>
      <c r="B97" t="s">
        <v>41</v>
      </c>
      <c r="C97" t="s">
        <v>42</v>
      </c>
      <c r="D97">
        <v>9</v>
      </c>
      <c r="E97" t="s">
        <v>81</v>
      </c>
      <c r="F97">
        <v>7477</v>
      </c>
      <c r="G97" t="s">
        <v>72</v>
      </c>
      <c r="H97" t="s">
        <v>47</v>
      </c>
      <c r="I97">
        <v>0</v>
      </c>
      <c r="J97">
        <v>0</v>
      </c>
      <c r="K97">
        <v>0</v>
      </c>
      <c r="L97" t="s">
        <v>46</v>
      </c>
      <c r="M97" t="s">
        <v>47</v>
      </c>
      <c r="N97" t="s">
        <v>273</v>
      </c>
      <c r="O97">
        <v>0</v>
      </c>
      <c r="P97">
        <v>0</v>
      </c>
      <c r="Q97">
        <v>0</v>
      </c>
      <c r="S97">
        <v>0</v>
      </c>
      <c r="T97">
        <v>1</v>
      </c>
      <c r="U97">
        <v>0</v>
      </c>
      <c r="V97" t="s">
        <v>46</v>
      </c>
      <c r="W97">
        <v>2</v>
      </c>
      <c r="X97">
        <v>1</v>
      </c>
      <c r="Y97">
        <v>0</v>
      </c>
      <c r="Z97" t="s">
        <v>49</v>
      </c>
      <c r="AA97">
        <v>1</v>
      </c>
      <c r="AB97">
        <v>3</v>
      </c>
      <c r="AC97">
        <v>0</v>
      </c>
      <c r="AD97">
        <v>0</v>
      </c>
      <c r="AE97">
        <v>1</v>
      </c>
      <c r="AF97">
        <v>0</v>
      </c>
      <c r="AG97" t="s">
        <v>274</v>
      </c>
    </row>
    <row r="98" spans="1:33" x14ac:dyDescent="0.2">
      <c r="A98" t="s">
        <v>66</v>
      </c>
      <c r="B98" t="s">
        <v>41</v>
      </c>
      <c r="C98" t="s">
        <v>42</v>
      </c>
      <c r="D98">
        <v>9</v>
      </c>
      <c r="E98" t="s">
        <v>67</v>
      </c>
      <c r="F98">
        <v>3940</v>
      </c>
      <c r="G98" t="s">
        <v>68</v>
      </c>
      <c r="H98" t="s">
        <v>47</v>
      </c>
      <c r="I98">
        <v>0</v>
      </c>
      <c r="J98">
        <v>0</v>
      </c>
      <c r="K98">
        <v>0</v>
      </c>
      <c r="L98" t="s">
        <v>46</v>
      </c>
      <c r="M98" t="s">
        <v>47</v>
      </c>
      <c r="N98" t="s">
        <v>253</v>
      </c>
      <c r="O98">
        <v>0</v>
      </c>
      <c r="P98">
        <v>1</v>
      </c>
      <c r="Q98">
        <v>0</v>
      </c>
      <c r="S98">
        <v>0</v>
      </c>
      <c r="T98">
        <v>0</v>
      </c>
      <c r="U98">
        <v>0</v>
      </c>
      <c r="V98" t="s">
        <v>60</v>
      </c>
      <c r="W98">
        <v>2</v>
      </c>
      <c r="X98">
        <v>1</v>
      </c>
      <c r="Y98">
        <v>0</v>
      </c>
      <c r="Z98" t="s">
        <v>54</v>
      </c>
      <c r="AA98">
        <v>1</v>
      </c>
      <c r="AB98">
        <v>3</v>
      </c>
      <c r="AC98">
        <v>0</v>
      </c>
      <c r="AD98">
        <v>1</v>
      </c>
      <c r="AE98">
        <v>1</v>
      </c>
      <c r="AF98">
        <v>0</v>
      </c>
      <c r="AG98" t="s">
        <v>254</v>
      </c>
    </row>
    <row r="99" spans="1:33" x14ac:dyDescent="0.2">
      <c r="A99" t="s">
        <v>275</v>
      </c>
      <c r="B99" t="s">
        <v>41</v>
      </c>
      <c r="C99" t="s">
        <v>42</v>
      </c>
      <c r="D99">
        <v>10</v>
      </c>
      <c r="E99" t="s">
        <v>67</v>
      </c>
      <c r="F99">
        <v>6721</v>
      </c>
      <c r="G99" t="s">
        <v>106</v>
      </c>
      <c r="H99" t="s">
        <v>129</v>
      </c>
      <c r="I99">
        <v>0</v>
      </c>
      <c r="J99">
        <v>0</v>
      </c>
      <c r="K99">
        <v>0</v>
      </c>
      <c r="L99" t="s">
        <v>60</v>
      </c>
      <c r="M99" t="s">
        <v>47</v>
      </c>
      <c r="N99" t="s">
        <v>47</v>
      </c>
      <c r="O99">
        <v>0</v>
      </c>
      <c r="P99">
        <v>0</v>
      </c>
      <c r="Q99">
        <v>0</v>
      </c>
      <c r="S99">
        <v>0</v>
      </c>
      <c r="U99">
        <v>0</v>
      </c>
      <c r="V99" t="s">
        <v>46</v>
      </c>
      <c r="W99">
        <v>0</v>
      </c>
      <c r="X99">
        <v>1</v>
      </c>
      <c r="Y99">
        <v>0</v>
      </c>
      <c r="Z99" t="s">
        <v>60</v>
      </c>
      <c r="AA99">
        <v>0</v>
      </c>
      <c r="AB99">
        <v>3</v>
      </c>
      <c r="AC99">
        <v>1</v>
      </c>
      <c r="AD99">
        <v>0</v>
      </c>
      <c r="AE99">
        <v>0</v>
      </c>
      <c r="AF99">
        <v>0</v>
      </c>
    </row>
    <row r="100" spans="1:33" x14ac:dyDescent="0.2">
      <c r="A100" t="s">
        <v>277</v>
      </c>
      <c r="B100" t="s">
        <v>41</v>
      </c>
      <c r="C100" t="s">
        <v>42</v>
      </c>
      <c r="D100">
        <v>10</v>
      </c>
      <c r="E100" t="s">
        <v>43</v>
      </c>
      <c r="F100">
        <v>3865</v>
      </c>
      <c r="G100" t="s">
        <v>56</v>
      </c>
      <c r="H100" t="s">
        <v>47</v>
      </c>
      <c r="I100">
        <v>0</v>
      </c>
      <c r="J100">
        <v>0</v>
      </c>
      <c r="K100">
        <v>0</v>
      </c>
      <c r="L100" t="s">
        <v>46</v>
      </c>
      <c r="M100" t="s">
        <v>278</v>
      </c>
      <c r="N100" t="s">
        <v>87</v>
      </c>
      <c r="O100">
        <v>0</v>
      </c>
      <c r="P100">
        <v>0</v>
      </c>
      <c r="Q100">
        <v>0</v>
      </c>
      <c r="S100">
        <v>0</v>
      </c>
      <c r="T100">
        <v>1</v>
      </c>
      <c r="U100">
        <v>2.5</v>
      </c>
      <c r="V100" t="s">
        <v>60</v>
      </c>
      <c r="W100">
        <v>3</v>
      </c>
      <c r="X100">
        <v>0</v>
      </c>
      <c r="Y100">
        <v>0</v>
      </c>
      <c r="Z100" t="s">
        <v>46</v>
      </c>
      <c r="AA100">
        <v>0</v>
      </c>
      <c r="AB100">
        <v>1</v>
      </c>
      <c r="AC100">
        <v>0</v>
      </c>
      <c r="AD100">
        <v>0</v>
      </c>
      <c r="AE100">
        <v>0</v>
      </c>
      <c r="AF100">
        <v>0</v>
      </c>
    </row>
    <row r="101" spans="1:33" x14ac:dyDescent="0.2">
      <c r="A101" t="s">
        <v>110</v>
      </c>
      <c r="B101" t="s">
        <v>41</v>
      </c>
      <c r="C101" t="s">
        <v>42</v>
      </c>
      <c r="D101">
        <v>10</v>
      </c>
      <c r="E101" t="s">
        <v>85</v>
      </c>
      <c r="F101">
        <v>862</v>
      </c>
      <c r="G101" t="s">
        <v>68</v>
      </c>
      <c r="H101" t="s">
        <v>47</v>
      </c>
      <c r="I101">
        <v>0</v>
      </c>
      <c r="J101">
        <v>1</v>
      </c>
      <c r="K101">
        <v>0</v>
      </c>
      <c r="L101" t="s">
        <v>60</v>
      </c>
      <c r="M101" t="s">
        <v>279</v>
      </c>
      <c r="N101" t="s">
        <v>280</v>
      </c>
      <c r="O101">
        <v>0</v>
      </c>
      <c r="P101">
        <v>0</v>
      </c>
      <c r="Q101">
        <v>0</v>
      </c>
      <c r="S101">
        <v>0</v>
      </c>
      <c r="T101">
        <v>1</v>
      </c>
      <c r="U101">
        <v>0</v>
      </c>
      <c r="V101" t="s">
        <v>60</v>
      </c>
      <c r="W101">
        <v>2</v>
      </c>
      <c r="X101">
        <v>1</v>
      </c>
      <c r="Y101">
        <v>0</v>
      </c>
      <c r="Z101" t="s">
        <v>46</v>
      </c>
      <c r="AA101">
        <v>0</v>
      </c>
      <c r="AB101">
        <v>3</v>
      </c>
      <c r="AC101">
        <v>0</v>
      </c>
      <c r="AD101">
        <v>0</v>
      </c>
      <c r="AE101">
        <v>0</v>
      </c>
      <c r="AF101">
        <v>0</v>
      </c>
    </row>
    <row r="102" spans="1:33" x14ac:dyDescent="0.2">
      <c r="A102" t="s">
        <v>97</v>
      </c>
      <c r="B102" t="s">
        <v>41</v>
      </c>
      <c r="C102" t="s">
        <v>42</v>
      </c>
      <c r="D102">
        <v>10</v>
      </c>
      <c r="E102" t="s">
        <v>85</v>
      </c>
      <c r="F102">
        <v>862</v>
      </c>
      <c r="G102" t="s">
        <v>68</v>
      </c>
      <c r="H102" t="s">
        <v>129</v>
      </c>
      <c r="I102">
        <v>0</v>
      </c>
      <c r="J102">
        <v>1</v>
      </c>
      <c r="K102">
        <v>1</v>
      </c>
      <c r="L102" t="s">
        <v>60</v>
      </c>
      <c r="M102" t="s">
        <v>281</v>
      </c>
      <c r="N102" t="s">
        <v>282</v>
      </c>
      <c r="O102">
        <v>0</v>
      </c>
      <c r="P102">
        <v>0</v>
      </c>
      <c r="Q102">
        <v>0</v>
      </c>
      <c r="S102">
        <v>1</v>
      </c>
      <c r="T102">
        <v>3</v>
      </c>
      <c r="U102">
        <v>0</v>
      </c>
      <c r="V102" t="s">
        <v>60</v>
      </c>
      <c r="W102">
        <v>2</v>
      </c>
      <c r="X102">
        <v>2</v>
      </c>
      <c r="Y102">
        <v>0</v>
      </c>
      <c r="Z102" t="s">
        <v>46</v>
      </c>
      <c r="AA102">
        <v>1</v>
      </c>
      <c r="AB102">
        <v>4</v>
      </c>
      <c r="AC102">
        <v>0</v>
      </c>
      <c r="AD102">
        <v>0</v>
      </c>
      <c r="AE102">
        <v>0</v>
      </c>
      <c r="AF102">
        <v>1</v>
      </c>
      <c r="AG102" t="s">
        <v>283</v>
      </c>
    </row>
    <row r="103" spans="1:33" x14ac:dyDescent="0.2">
      <c r="A103" t="s">
        <v>224</v>
      </c>
      <c r="B103" t="s">
        <v>41</v>
      </c>
      <c r="C103" t="s">
        <v>42</v>
      </c>
      <c r="D103">
        <v>10</v>
      </c>
      <c r="E103" t="s">
        <v>67</v>
      </c>
      <c r="F103">
        <v>6721</v>
      </c>
      <c r="G103" t="s">
        <v>106</v>
      </c>
      <c r="H103" t="s">
        <v>47</v>
      </c>
      <c r="I103">
        <v>0</v>
      </c>
      <c r="J103">
        <v>0</v>
      </c>
      <c r="K103">
        <v>0</v>
      </c>
      <c r="L103" t="s">
        <v>46</v>
      </c>
      <c r="M103" t="s">
        <v>47</v>
      </c>
      <c r="N103" t="s">
        <v>47</v>
      </c>
      <c r="O103">
        <v>0</v>
      </c>
      <c r="P103">
        <v>0</v>
      </c>
      <c r="Q103">
        <v>0</v>
      </c>
      <c r="S103">
        <v>0</v>
      </c>
      <c r="T103">
        <v>0</v>
      </c>
      <c r="U103">
        <v>0</v>
      </c>
      <c r="V103" t="s">
        <v>46</v>
      </c>
      <c r="W103">
        <v>0</v>
      </c>
      <c r="X103">
        <v>-1</v>
      </c>
      <c r="Y103">
        <v>0</v>
      </c>
      <c r="Z103" t="s">
        <v>46</v>
      </c>
      <c r="AA103">
        <v>0</v>
      </c>
      <c r="AB103">
        <v>1</v>
      </c>
      <c r="AC103">
        <v>0</v>
      </c>
      <c r="AD103">
        <v>0</v>
      </c>
      <c r="AE103">
        <v>0</v>
      </c>
      <c r="AF103">
        <v>0</v>
      </c>
      <c r="AG103" t="s">
        <v>284</v>
      </c>
    </row>
    <row r="104" spans="1:33" x14ac:dyDescent="0.2">
      <c r="A104" t="s">
        <v>285</v>
      </c>
      <c r="B104" t="s">
        <v>41</v>
      </c>
      <c r="C104" t="s">
        <v>42</v>
      </c>
      <c r="D104">
        <v>10</v>
      </c>
      <c r="E104" t="s">
        <v>43</v>
      </c>
      <c r="F104">
        <v>3865</v>
      </c>
      <c r="G104" t="s">
        <v>56</v>
      </c>
      <c r="H104" t="s">
        <v>47</v>
      </c>
      <c r="I104">
        <v>1</v>
      </c>
      <c r="J104">
        <v>1</v>
      </c>
      <c r="K104">
        <v>1</v>
      </c>
      <c r="L104" t="s">
        <v>46</v>
      </c>
      <c r="M104" t="s">
        <v>286</v>
      </c>
      <c r="N104" t="s">
        <v>47</v>
      </c>
      <c r="O104">
        <v>0</v>
      </c>
      <c r="P104">
        <v>0</v>
      </c>
      <c r="Q104">
        <v>0</v>
      </c>
      <c r="S104">
        <v>0</v>
      </c>
      <c r="T104">
        <v>1</v>
      </c>
      <c r="U104">
        <v>0</v>
      </c>
      <c r="V104" t="s">
        <v>60</v>
      </c>
      <c r="W104">
        <v>3</v>
      </c>
      <c r="X104">
        <v>0</v>
      </c>
      <c r="Y104">
        <v>0</v>
      </c>
      <c r="Z104" t="s">
        <v>46</v>
      </c>
      <c r="AA104">
        <v>0</v>
      </c>
      <c r="AB104">
        <v>3</v>
      </c>
      <c r="AC104">
        <v>0</v>
      </c>
      <c r="AD104">
        <v>0</v>
      </c>
      <c r="AE104">
        <v>0</v>
      </c>
      <c r="AF104">
        <v>0</v>
      </c>
      <c r="AG104" t="s">
        <v>287</v>
      </c>
    </row>
    <row r="105" spans="1:33" x14ac:dyDescent="0.2">
      <c r="A105" t="s">
        <v>288</v>
      </c>
      <c r="B105" t="s">
        <v>41</v>
      </c>
      <c r="C105" t="s">
        <v>42</v>
      </c>
      <c r="D105">
        <v>10</v>
      </c>
      <c r="E105" t="s">
        <v>51</v>
      </c>
      <c r="F105">
        <v>1555</v>
      </c>
      <c r="G105" t="s">
        <v>78</v>
      </c>
      <c r="H105" t="s">
        <v>47</v>
      </c>
      <c r="I105">
        <v>0</v>
      </c>
      <c r="J105">
        <v>0</v>
      </c>
      <c r="K105">
        <v>0</v>
      </c>
      <c r="L105" t="s">
        <v>46</v>
      </c>
      <c r="M105" t="s">
        <v>47</v>
      </c>
      <c r="N105" t="s">
        <v>273</v>
      </c>
      <c r="O105">
        <v>0</v>
      </c>
      <c r="P105">
        <v>0</v>
      </c>
      <c r="Q105">
        <v>0</v>
      </c>
      <c r="S105">
        <v>0</v>
      </c>
      <c r="T105">
        <v>0</v>
      </c>
      <c r="U105">
        <v>6.7</v>
      </c>
      <c r="V105" t="s">
        <v>60</v>
      </c>
      <c r="W105">
        <v>3</v>
      </c>
      <c r="X105">
        <v>0</v>
      </c>
      <c r="Y105">
        <v>0</v>
      </c>
      <c r="Z105" t="s">
        <v>46</v>
      </c>
      <c r="AA105">
        <v>0</v>
      </c>
      <c r="AB105">
        <v>1</v>
      </c>
      <c r="AC105">
        <v>0</v>
      </c>
      <c r="AD105">
        <v>0</v>
      </c>
      <c r="AE105">
        <v>0</v>
      </c>
      <c r="AF105">
        <v>0</v>
      </c>
    </row>
    <row r="106" spans="1:33" x14ac:dyDescent="0.2">
      <c r="A106" t="s">
        <v>289</v>
      </c>
      <c r="B106" t="s">
        <v>41</v>
      </c>
      <c r="C106" t="s">
        <v>42</v>
      </c>
      <c r="D106">
        <v>10</v>
      </c>
      <c r="E106" t="s">
        <v>63</v>
      </c>
      <c r="F106">
        <v>1747</v>
      </c>
      <c r="G106" t="s">
        <v>106</v>
      </c>
      <c r="H106" t="s">
        <v>47</v>
      </c>
      <c r="I106">
        <v>0</v>
      </c>
      <c r="J106">
        <v>0</v>
      </c>
      <c r="K106">
        <v>0</v>
      </c>
      <c r="L106" t="s">
        <v>53</v>
      </c>
      <c r="M106" t="s">
        <v>47</v>
      </c>
      <c r="N106" t="s">
        <v>47</v>
      </c>
      <c r="O106">
        <v>0</v>
      </c>
      <c r="P106">
        <v>0</v>
      </c>
      <c r="Q106">
        <v>1</v>
      </c>
      <c r="R106">
        <v>6721</v>
      </c>
      <c r="S106">
        <v>0</v>
      </c>
      <c r="T106">
        <v>0</v>
      </c>
      <c r="U106">
        <v>0</v>
      </c>
      <c r="V106" t="s">
        <v>141</v>
      </c>
      <c r="W106">
        <v>3</v>
      </c>
      <c r="X106">
        <v>2</v>
      </c>
      <c r="Y106">
        <v>0</v>
      </c>
      <c r="Z106" t="s">
        <v>181</v>
      </c>
      <c r="AA106">
        <v>0</v>
      </c>
      <c r="AB106">
        <v>3</v>
      </c>
      <c r="AC106">
        <v>0</v>
      </c>
      <c r="AD106">
        <v>0</v>
      </c>
      <c r="AE106">
        <v>0</v>
      </c>
      <c r="AF106">
        <v>1</v>
      </c>
    </row>
    <row r="107" spans="1:33" x14ac:dyDescent="0.2">
      <c r="A107" t="s">
        <v>66</v>
      </c>
      <c r="B107" t="s">
        <v>41</v>
      </c>
      <c r="C107" t="s">
        <v>42</v>
      </c>
      <c r="D107">
        <v>10</v>
      </c>
      <c r="E107" t="s">
        <v>67</v>
      </c>
      <c r="F107">
        <v>6721</v>
      </c>
      <c r="G107" t="s">
        <v>106</v>
      </c>
      <c r="H107" t="s">
        <v>47</v>
      </c>
      <c r="I107">
        <v>0</v>
      </c>
      <c r="J107">
        <v>0</v>
      </c>
      <c r="K107">
        <v>0</v>
      </c>
      <c r="L107" t="s">
        <v>46</v>
      </c>
      <c r="M107" t="s">
        <v>47</v>
      </c>
      <c r="N107" t="s">
        <v>47</v>
      </c>
      <c r="O107">
        <v>0</v>
      </c>
      <c r="P107">
        <v>0</v>
      </c>
      <c r="Q107">
        <v>0</v>
      </c>
      <c r="S107">
        <v>0</v>
      </c>
      <c r="U107">
        <v>0</v>
      </c>
      <c r="V107" t="s">
        <v>46</v>
      </c>
      <c r="W107">
        <v>2</v>
      </c>
      <c r="X107">
        <v>0</v>
      </c>
      <c r="Y107">
        <v>0</v>
      </c>
      <c r="Z107" t="s">
        <v>54</v>
      </c>
      <c r="AA107">
        <v>0</v>
      </c>
      <c r="AB107">
        <v>1</v>
      </c>
      <c r="AC107">
        <v>1</v>
      </c>
      <c r="AD107">
        <v>1</v>
      </c>
      <c r="AE107">
        <v>1</v>
      </c>
      <c r="AF107">
        <v>0</v>
      </c>
      <c r="AG107" t="s">
        <v>276</v>
      </c>
    </row>
    <row r="108" spans="1:33" x14ac:dyDescent="0.2">
      <c r="A108" t="s">
        <v>277</v>
      </c>
      <c r="B108" t="s">
        <v>41</v>
      </c>
      <c r="C108" t="s">
        <v>42</v>
      </c>
      <c r="D108">
        <v>11</v>
      </c>
      <c r="E108" t="s">
        <v>43</v>
      </c>
      <c r="F108">
        <v>45</v>
      </c>
      <c r="G108" t="s">
        <v>78</v>
      </c>
      <c r="H108" t="s">
        <v>47</v>
      </c>
      <c r="I108">
        <v>1</v>
      </c>
      <c r="J108">
        <v>0</v>
      </c>
      <c r="K108">
        <v>1</v>
      </c>
      <c r="L108" t="s">
        <v>46</v>
      </c>
      <c r="M108" t="s">
        <v>297</v>
      </c>
      <c r="N108" t="s">
        <v>298</v>
      </c>
      <c r="O108">
        <v>0</v>
      </c>
      <c r="P108">
        <v>1</v>
      </c>
      <c r="Q108">
        <v>0</v>
      </c>
      <c r="S108">
        <v>0</v>
      </c>
      <c r="T108">
        <v>0</v>
      </c>
      <c r="U108">
        <v>7.4</v>
      </c>
      <c r="V108" t="s">
        <v>60</v>
      </c>
      <c r="W108">
        <v>2</v>
      </c>
      <c r="X108">
        <v>1</v>
      </c>
      <c r="Y108">
        <v>0</v>
      </c>
      <c r="Z108" t="s">
        <v>46</v>
      </c>
      <c r="AA108">
        <v>0</v>
      </c>
      <c r="AB108">
        <v>5</v>
      </c>
      <c r="AC108">
        <v>0</v>
      </c>
      <c r="AD108">
        <v>0</v>
      </c>
      <c r="AE108">
        <v>0</v>
      </c>
      <c r="AF108">
        <v>1</v>
      </c>
    </row>
    <row r="109" spans="1:33" x14ac:dyDescent="0.2">
      <c r="A109" t="s">
        <v>290</v>
      </c>
      <c r="B109" t="s">
        <v>41</v>
      </c>
      <c r="C109" t="s">
        <v>42</v>
      </c>
      <c r="D109">
        <v>11</v>
      </c>
      <c r="E109" t="s">
        <v>85</v>
      </c>
      <c r="F109">
        <v>3487</v>
      </c>
      <c r="G109" t="s">
        <v>68</v>
      </c>
      <c r="H109" t="s">
        <v>47</v>
      </c>
      <c r="I109">
        <v>0</v>
      </c>
      <c r="J109">
        <v>0</v>
      </c>
      <c r="K109">
        <v>0</v>
      </c>
      <c r="L109" t="s">
        <v>46</v>
      </c>
      <c r="M109" t="s">
        <v>47</v>
      </c>
      <c r="N109" t="s">
        <v>47</v>
      </c>
      <c r="O109">
        <v>0</v>
      </c>
      <c r="P109">
        <v>0</v>
      </c>
      <c r="Q109">
        <v>0</v>
      </c>
      <c r="S109">
        <v>0</v>
      </c>
      <c r="T109">
        <v>2</v>
      </c>
      <c r="U109">
        <v>0</v>
      </c>
      <c r="V109" t="s">
        <v>60</v>
      </c>
      <c r="W109">
        <v>3</v>
      </c>
      <c r="X109">
        <v>0</v>
      </c>
      <c r="Y109">
        <v>0</v>
      </c>
      <c r="Z109" t="s">
        <v>46</v>
      </c>
      <c r="AA109">
        <v>0</v>
      </c>
      <c r="AB109">
        <v>2</v>
      </c>
      <c r="AC109">
        <v>0</v>
      </c>
      <c r="AD109">
        <v>0</v>
      </c>
      <c r="AE109">
        <v>0</v>
      </c>
      <c r="AF109">
        <v>0</v>
      </c>
    </row>
    <row r="110" spans="1:33" x14ac:dyDescent="0.2">
      <c r="A110" t="s">
        <v>66</v>
      </c>
      <c r="B110" t="s">
        <v>41</v>
      </c>
      <c r="C110" t="s">
        <v>42</v>
      </c>
      <c r="D110">
        <v>11</v>
      </c>
      <c r="E110" t="s">
        <v>67</v>
      </c>
      <c r="F110">
        <v>1501</v>
      </c>
      <c r="G110" t="s">
        <v>106</v>
      </c>
      <c r="H110" t="s">
        <v>47</v>
      </c>
      <c r="I110">
        <v>0</v>
      </c>
      <c r="J110">
        <v>0</v>
      </c>
      <c r="K110">
        <v>0</v>
      </c>
      <c r="L110" t="s">
        <v>46</v>
      </c>
      <c r="M110" t="s">
        <v>47</v>
      </c>
      <c r="N110" t="s">
        <v>291</v>
      </c>
      <c r="O110">
        <v>0</v>
      </c>
      <c r="P110">
        <v>1</v>
      </c>
      <c r="Q110">
        <v>0</v>
      </c>
      <c r="S110">
        <v>0</v>
      </c>
      <c r="U110">
        <v>0</v>
      </c>
      <c r="V110" t="s">
        <v>60</v>
      </c>
      <c r="W110">
        <v>3</v>
      </c>
      <c r="X110">
        <v>2</v>
      </c>
      <c r="Y110">
        <v>0</v>
      </c>
      <c r="Z110" t="s">
        <v>46</v>
      </c>
      <c r="AA110">
        <v>1</v>
      </c>
      <c r="AB110">
        <v>5</v>
      </c>
      <c r="AC110">
        <v>0</v>
      </c>
      <c r="AD110">
        <v>0</v>
      </c>
      <c r="AE110">
        <v>1</v>
      </c>
      <c r="AF110">
        <v>1</v>
      </c>
      <c r="AG110" t="s">
        <v>292</v>
      </c>
    </row>
    <row r="111" spans="1:33" x14ac:dyDescent="0.2">
      <c r="A111" t="s">
        <v>135</v>
      </c>
      <c r="B111" t="s">
        <v>41</v>
      </c>
      <c r="C111" t="s">
        <v>42</v>
      </c>
      <c r="D111">
        <v>11</v>
      </c>
      <c r="E111" t="s">
        <v>85</v>
      </c>
      <c r="F111">
        <v>3487</v>
      </c>
      <c r="G111" t="s">
        <v>68</v>
      </c>
      <c r="H111" t="s">
        <v>57</v>
      </c>
      <c r="I111">
        <v>0</v>
      </c>
      <c r="J111">
        <v>0</v>
      </c>
      <c r="K111">
        <v>1</v>
      </c>
      <c r="L111" t="s">
        <v>49</v>
      </c>
      <c r="M111" t="s">
        <v>47</v>
      </c>
      <c r="N111" t="s">
        <v>293</v>
      </c>
      <c r="O111">
        <v>0</v>
      </c>
      <c r="P111">
        <v>0</v>
      </c>
      <c r="Q111">
        <v>0</v>
      </c>
      <c r="S111">
        <v>1</v>
      </c>
      <c r="T111">
        <v>3</v>
      </c>
      <c r="U111">
        <v>0</v>
      </c>
      <c r="V111" t="s">
        <v>46</v>
      </c>
      <c r="W111">
        <v>0</v>
      </c>
      <c r="X111">
        <v>1</v>
      </c>
      <c r="Y111">
        <v>1</v>
      </c>
      <c r="Z111" t="s">
        <v>49</v>
      </c>
      <c r="AA111">
        <v>0</v>
      </c>
      <c r="AB111">
        <v>2</v>
      </c>
      <c r="AC111">
        <v>0</v>
      </c>
      <c r="AD111">
        <v>0</v>
      </c>
      <c r="AE111">
        <v>0</v>
      </c>
      <c r="AF111">
        <v>0</v>
      </c>
      <c r="AG111" t="s">
        <v>294</v>
      </c>
    </row>
    <row r="112" spans="1:33" x14ac:dyDescent="0.2">
      <c r="A112" t="s">
        <v>275</v>
      </c>
      <c r="B112" t="s">
        <v>41</v>
      </c>
      <c r="C112" t="s">
        <v>42</v>
      </c>
      <c r="D112">
        <v>11</v>
      </c>
      <c r="E112" t="s">
        <v>67</v>
      </c>
      <c r="F112">
        <v>1501</v>
      </c>
      <c r="G112" t="s">
        <v>106</v>
      </c>
      <c r="H112" t="s">
        <v>96</v>
      </c>
      <c r="I112">
        <v>1</v>
      </c>
      <c r="J112">
        <v>0</v>
      </c>
      <c r="K112">
        <v>1</v>
      </c>
      <c r="L112" t="s">
        <v>46</v>
      </c>
      <c r="M112" t="s">
        <v>295</v>
      </c>
      <c r="N112" t="s">
        <v>296</v>
      </c>
      <c r="O112">
        <v>0</v>
      </c>
      <c r="P112">
        <v>0</v>
      </c>
      <c r="Q112">
        <v>0</v>
      </c>
      <c r="S112">
        <v>1</v>
      </c>
      <c r="T112">
        <v>0</v>
      </c>
      <c r="U112">
        <v>0</v>
      </c>
      <c r="V112" t="s">
        <v>60</v>
      </c>
      <c r="W112">
        <v>3</v>
      </c>
      <c r="X112">
        <v>1</v>
      </c>
      <c r="Y112">
        <v>1</v>
      </c>
      <c r="Z112" t="s">
        <v>46</v>
      </c>
      <c r="AA112">
        <v>0</v>
      </c>
      <c r="AB112">
        <v>4</v>
      </c>
      <c r="AC112">
        <v>0</v>
      </c>
      <c r="AD112">
        <v>0</v>
      </c>
      <c r="AE112">
        <v>0</v>
      </c>
      <c r="AF112">
        <v>1</v>
      </c>
    </row>
    <row r="113" spans="1:33" x14ac:dyDescent="0.2">
      <c r="A113" t="s">
        <v>288</v>
      </c>
      <c r="B113" t="s">
        <v>41</v>
      </c>
      <c r="C113" t="s">
        <v>42</v>
      </c>
      <c r="D113">
        <v>11</v>
      </c>
      <c r="E113" t="s">
        <v>51</v>
      </c>
      <c r="F113">
        <v>71</v>
      </c>
      <c r="G113" t="s">
        <v>78</v>
      </c>
      <c r="H113" t="s">
        <v>47</v>
      </c>
      <c r="I113">
        <v>0</v>
      </c>
      <c r="J113">
        <v>0</v>
      </c>
      <c r="K113">
        <v>1</v>
      </c>
      <c r="L113" t="s">
        <v>60</v>
      </c>
      <c r="M113" t="s">
        <v>47</v>
      </c>
      <c r="N113" t="s">
        <v>89</v>
      </c>
      <c r="O113">
        <v>0</v>
      </c>
      <c r="P113">
        <v>0</v>
      </c>
      <c r="Q113">
        <v>0</v>
      </c>
      <c r="S113">
        <v>0</v>
      </c>
      <c r="T113">
        <v>2</v>
      </c>
      <c r="U113">
        <v>3.8</v>
      </c>
      <c r="V113" t="s">
        <v>60</v>
      </c>
      <c r="W113">
        <v>2</v>
      </c>
      <c r="X113">
        <v>2</v>
      </c>
      <c r="Y113">
        <v>0</v>
      </c>
      <c r="Z113" t="s">
        <v>46</v>
      </c>
      <c r="AA113">
        <v>0</v>
      </c>
      <c r="AB113">
        <v>4</v>
      </c>
      <c r="AC113">
        <v>0</v>
      </c>
      <c r="AD113">
        <v>0</v>
      </c>
      <c r="AE113">
        <v>0</v>
      </c>
      <c r="AF113">
        <v>1</v>
      </c>
    </row>
    <row r="114" spans="1:33" x14ac:dyDescent="0.2">
      <c r="A114" t="s">
        <v>285</v>
      </c>
      <c r="B114" t="s">
        <v>41</v>
      </c>
      <c r="C114" t="s">
        <v>42</v>
      </c>
      <c r="D114">
        <v>11</v>
      </c>
      <c r="E114" t="s">
        <v>43</v>
      </c>
      <c r="F114">
        <v>45</v>
      </c>
      <c r="G114" t="s">
        <v>44</v>
      </c>
      <c r="H114" t="s">
        <v>47</v>
      </c>
      <c r="I114">
        <v>1</v>
      </c>
      <c r="J114">
        <v>1</v>
      </c>
      <c r="K114">
        <v>1</v>
      </c>
      <c r="L114" t="s">
        <v>46</v>
      </c>
      <c r="M114" t="s">
        <v>299</v>
      </c>
      <c r="N114" t="s">
        <v>300</v>
      </c>
      <c r="O114">
        <v>0</v>
      </c>
      <c r="P114">
        <v>0</v>
      </c>
      <c r="Q114">
        <v>0</v>
      </c>
      <c r="S114">
        <v>0</v>
      </c>
      <c r="T114">
        <v>0</v>
      </c>
      <c r="U114">
        <v>3.8</v>
      </c>
      <c r="V114" t="s">
        <v>60</v>
      </c>
      <c r="W114">
        <v>2</v>
      </c>
      <c r="X114">
        <v>1</v>
      </c>
      <c r="Y114">
        <v>0</v>
      </c>
      <c r="Z114" t="s">
        <v>46</v>
      </c>
      <c r="AA114">
        <v>1</v>
      </c>
      <c r="AB114">
        <v>3</v>
      </c>
      <c r="AC114">
        <v>0</v>
      </c>
      <c r="AD114">
        <v>0</v>
      </c>
      <c r="AE114">
        <v>1</v>
      </c>
      <c r="AF114">
        <v>0</v>
      </c>
      <c r="AG114" t="s">
        <v>301</v>
      </c>
    </row>
    <row r="115" spans="1:33" x14ac:dyDescent="0.2">
      <c r="A115" t="s">
        <v>302</v>
      </c>
      <c r="B115" t="s">
        <v>41</v>
      </c>
      <c r="C115" t="s">
        <v>42</v>
      </c>
      <c r="D115">
        <v>11</v>
      </c>
      <c r="E115" t="s">
        <v>81</v>
      </c>
      <c r="F115">
        <v>3147</v>
      </c>
      <c r="G115" t="s">
        <v>71</v>
      </c>
      <c r="H115" t="s">
        <v>172</v>
      </c>
      <c r="I115">
        <v>1</v>
      </c>
      <c r="J115">
        <v>0</v>
      </c>
      <c r="K115">
        <v>1</v>
      </c>
      <c r="L115" t="s">
        <v>46</v>
      </c>
      <c r="M115" t="s">
        <v>303</v>
      </c>
      <c r="N115" t="s">
        <v>304</v>
      </c>
      <c r="O115">
        <v>0</v>
      </c>
      <c r="P115">
        <v>1</v>
      </c>
      <c r="Q115">
        <v>1</v>
      </c>
      <c r="S115">
        <v>0</v>
      </c>
      <c r="U115">
        <v>5</v>
      </c>
      <c r="V115" t="s">
        <v>60</v>
      </c>
      <c r="W115">
        <v>3</v>
      </c>
      <c r="X115">
        <v>2</v>
      </c>
      <c r="Y115">
        <v>0</v>
      </c>
      <c r="Z115" t="s">
        <v>60</v>
      </c>
      <c r="AA115">
        <v>1</v>
      </c>
      <c r="AB115">
        <v>4</v>
      </c>
      <c r="AC115">
        <v>0</v>
      </c>
      <c r="AD115">
        <v>1</v>
      </c>
      <c r="AE115">
        <v>0</v>
      </c>
      <c r="AF115">
        <v>0</v>
      </c>
      <c r="AG115" t="s">
        <v>305</v>
      </c>
    </row>
    <row r="116" spans="1:33" x14ac:dyDescent="0.2">
      <c r="A116" t="s">
        <v>66</v>
      </c>
      <c r="B116" t="s">
        <v>41</v>
      </c>
      <c r="C116" t="s">
        <v>42</v>
      </c>
      <c r="D116">
        <v>12</v>
      </c>
      <c r="E116" t="s">
        <v>67</v>
      </c>
      <c r="F116">
        <v>2866</v>
      </c>
      <c r="G116" t="s">
        <v>71</v>
      </c>
      <c r="H116" t="s">
        <v>71</v>
      </c>
      <c r="I116">
        <v>1</v>
      </c>
      <c r="J116">
        <v>0</v>
      </c>
      <c r="K116">
        <v>1</v>
      </c>
      <c r="L116" t="s">
        <v>46</v>
      </c>
      <c r="M116" t="s">
        <v>47</v>
      </c>
      <c r="N116" t="s">
        <v>309</v>
      </c>
      <c r="O116">
        <v>0</v>
      </c>
      <c r="P116">
        <v>0</v>
      </c>
      <c r="Q116">
        <v>0</v>
      </c>
      <c r="S116">
        <v>0</v>
      </c>
      <c r="T116">
        <v>1</v>
      </c>
      <c r="U116">
        <v>0</v>
      </c>
      <c r="V116" t="s">
        <v>60</v>
      </c>
      <c r="W116">
        <v>2</v>
      </c>
      <c r="X116">
        <v>0</v>
      </c>
      <c r="Y116">
        <v>0</v>
      </c>
      <c r="Z116" t="s">
        <v>46</v>
      </c>
      <c r="AA116">
        <v>0</v>
      </c>
      <c r="AB116">
        <v>1</v>
      </c>
      <c r="AC116">
        <v>0</v>
      </c>
      <c r="AD116">
        <v>1</v>
      </c>
      <c r="AE116">
        <v>0</v>
      </c>
      <c r="AF116">
        <v>0</v>
      </c>
      <c r="AG116" t="s">
        <v>310</v>
      </c>
    </row>
    <row r="117" spans="1:33" x14ac:dyDescent="0.2">
      <c r="A117" t="s">
        <v>290</v>
      </c>
      <c r="B117" t="s">
        <v>41</v>
      </c>
      <c r="C117" t="s">
        <v>42</v>
      </c>
      <c r="D117">
        <v>12</v>
      </c>
      <c r="E117" t="s">
        <v>85</v>
      </c>
      <c r="F117">
        <v>5402</v>
      </c>
      <c r="G117" t="s">
        <v>96</v>
      </c>
      <c r="H117" t="s">
        <v>57</v>
      </c>
      <c r="I117">
        <v>1</v>
      </c>
      <c r="J117">
        <v>0</v>
      </c>
      <c r="K117">
        <v>1</v>
      </c>
      <c r="L117" t="s">
        <v>46</v>
      </c>
      <c r="M117" t="s">
        <v>47</v>
      </c>
      <c r="N117" t="s">
        <v>306</v>
      </c>
      <c r="O117">
        <v>0</v>
      </c>
      <c r="P117">
        <v>0</v>
      </c>
      <c r="Q117">
        <v>0</v>
      </c>
      <c r="S117">
        <v>0</v>
      </c>
      <c r="T117">
        <v>3</v>
      </c>
      <c r="U117">
        <v>0</v>
      </c>
      <c r="V117" t="s">
        <v>46</v>
      </c>
      <c r="W117">
        <v>1</v>
      </c>
      <c r="X117">
        <v>-1</v>
      </c>
      <c r="Y117">
        <v>0</v>
      </c>
      <c r="Z117" t="s">
        <v>46</v>
      </c>
      <c r="AA117">
        <v>0</v>
      </c>
      <c r="AB117">
        <v>3</v>
      </c>
      <c r="AC117">
        <v>1</v>
      </c>
      <c r="AD117">
        <v>0</v>
      </c>
      <c r="AE117">
        <v>0</v>
      </c>
      <c r="AF117">
        <v>0</v>
      </c>
    </row>
    <row r="118" spans="1:33" x14ac:dyDescent="0.2">
      <c r="A118" t="s">
        <v>277</v>
      </c>
      <c r="B118" t="s">
        <v>41</v>
      </c>
      <c r="C118" t="s">
        <v>42</v>
      </c>
      <c r="D118">
        <v>12</v>
      </c>
      <c r="E118" t="s">
        <v>43</v>
      </c>
      <c r="F118">
        <v>2909</v>
      </c>
      <c r="G118" t="s">
        <v>78</v>
      </c>
      <c r="H118" t="s">
        <v>47</v>
      </c>
      <c r="I118">
        <v>0</v>
      </c>
      <c r="J118">
        <v>0</v>
      </c>
      <c r="K118">
        <v>0</v>
      </c>
      <c r="L118" t="s">
        <v>46</v>
      </c>
      <c r="M118" t="s">
        <v>307</v>
      </c>
      <c r="N118" t="s">
        <v>170</v>
      </c>
      <c r="O118">
        <v>0</v>
      </c>
      <c r="P118">
        <v>0</v>
      </c>
      <c r="Q118">
        <v>0</v>
      </c>
      <c r="S118">
        <v>0</v>
      </c>
      <c r="T118">
        <v>1</v>
      </c>
      <c r="U118">
        <v>45.2</v>
      </c>
      <c r="V118" t="s">
        <v>49</v>
      </c>
      <c r="W118">
        <v>0</v>
      </c>
      <c r="X118">
        <v>0</v>
      </c>
      <c r="Y118">
        <v>0</v>
      </c>
      <c r="Z118" t="s">
        <v>46</v>
      </c>
      <c r="AA118">
        <v>0</v>
      </c>
      <c r="AB118">
        <v>1</v>
      </c>
      <c r="AC118">
        <v>0</v>
      </c>
      <c r="AD118">
        <v>0</v>
      </c>
      <c r="AE118">
        <v>0</v>
      </c>
      <c r="AF118">
        <v>0</v>
      </c>
    </row>
    <row r="119" spans="1:33" x14ac:dyDescent="0.2">
      <c r="A119" t="s">
        <v>137</v>
      </c>
      <c r="B119" t="s">
        <v>41</v>
      </c>
      <c r="C119" t="s">
        <v>42</v>
      </c>
      <c r="D119">
        <v>12</v>
      </c>
      <c r="E119" t="s">
        <v>81</v>
      </c>
      <c r="F119">
        <v>328</v>
      </c>
      <c r="G119" t="s">
        <v>68</v>
      </c>
      <c r="H119" t="s">
        <v>47</v>
      </c>
      <c r="I119">
        <v>0</v>
      </c>
      <c r="J119">
        <v>0</v>
      </c>
      <c r="K119">
        <v>1</v>
      </c>
      <c r="L119" t="s">
        <v>53</v>
      </c>
      <c r="M119" t="s">
        <v>47</v>
      </c>
      <c r="N119" t="s">
        <v>308</v>
      </c>
      <c r="O119">
        <v>0</v>
      </c>
      <c r="P119">
        <v>1</v>
      </c>
      <c r="Q119">
        <v>0</v>
      </c>
      <c r="S119">
        <v>0</v>
      </c>
      <c r="T119">
        <v>2</v>
      </c>
      <c r="U119">
        <v>17.8</v>
      </c>
      <c r="V119" t="s">
        <v>60</v>
      </c>
      <c r="W119">
        <v>2</v>
      </c>
      <c r="X119">
        <v>2</v>
      </c>
      <c r="Y119">
        <v>0</v>
      </c>
      <c r="Z119" t="s">
        <v>46</v>
      </c>
      <c r="AA119">
        <v>0</v>
      </c>
      <c r="AB119">
        <v>4</v>
      </c>
      <c r="AC119">
        <v>0</v>
      </c>
      <c r="AD119">
        <v>0</v>
      </c>
      <c r="AE119">
        <v>0</v>
      </c>
      <c r="AF119">
        <v>1</v>
      </c>
    </row>
    <row r="120" spans="1:33" x14ac:dyDescent="0.2">
      <c r="A120" t="s">
        <v>135</v>
      </c>
      <c r="B120" t="s">
        <v>41</v>
      </c>
      <c r="C120" t="s">
        <v>42</v>
      </c>
      <c r="D120">
        <v>12</v>
      </c>
      <c r="E120" t="s">
        <v>85</v>
      </c>
      <c r="F120">
        <v>5402</v>
      </c>
      <c r="G120" t="s">
        <v>106</v>
      </c>
      <c r="H120" t="s">
        <v>47</v>
      </c>
      <c r="I120">
        <v>0</v>
      </c>
      <c r="J120">
        <v>0</v>
      </c>
      <c r="K120">
        <v>1</v>
      </c>
      <c r="L120" t="s">
        <v>46</v>
      </c>
      <c r="M120" t="s">
        <v>47</v>
      </c>
      <c r="N120" t="s">
        <v>311</v>
      </c>
      <c r="O120">
        <v>0</v>
      </c>
      <c r="P120">
        <v>0</v>
      </c>
      <c r="Q120">
        <v>0</v>
      </c>
      <c r="S120">
        <v>1</v>
      </c>
      <c r="T120">
        <v>3</v>
      </c>
      <c r="U120">
        <v>0</v>
      </c>
      <c r="V120" t="s">
        <v>46</v>
      </c>
      <c r="W120">
        <v>1</v>
      </c>
      <c r="X120">
        <v>2</v>
      </c>
      <c r="Y120">
        <v>0</v>
      </c>
      <c r="Z120" t="s">
        <v>49</v>
      </c>
      <c r="AA120">
        <v>1</v>
      </c>
      <c r="AB120">
        <v>4</v>
      </c>
      <c r="AC120">
        <v>1</v>
      </c>
      <c r="AD120">
        <v>0</v>
      </c>
      <c r="AE120">
        <v>0</v>
      </c>
      <c r="AF120">
        <v>0</v>
      </c>
      <c r="AG120" t="s">
        <v>312</v>
      </c>
    </row>
    <row r="121" spans="1:33" x14ac:dyDescent="0.2">
      <c r="A121" t="s">
        <v>275</v>
      </c>
      <c r="B121" t="s">
        <v>41</v>
      </c>
      <c r="C121" t="s">
        <v>42</v>
      </c>
      <c r="D121">
        <v>12</v>
      </c>
      <c r="E121" t="s">
        <v>67</v>
      </c>
      <c r="F121">
        <v>2867</v>
      </c>
      <c r="G121" t="s">
        <v>71</v>
      </c>
      <c r="H121" t="s">
        <v>47</v>
      </c>
      <c r="I121">
        <v>0</v>
      </c>
      <c r="J121">
        <v>0</v>
      </c>
      <c r="K121">
        <v>1</v>
      </c>
      <c r="L121" t="s">
        <v>46</v>
      </c>
      <c r="M121" t="s">
        <v>313</v>
      </c>
      <c r="N121" t="s">
        <v>108</v>
      </c>
      <c r="O121">
        <v>0</v>
      </c>
      <c r="P121">
        <v>0</v>
      </c>
      <c r="Q121">
        <v>0</v>
      </c>
      <c r="S121">
        <v>1</v>
      </c>
      <c r="T121">
        <v>0</v>
      </c>
      <c r="U121">
        <v>0</v>
      </c>
      <c r="V121" t="s">
        <v>60</v>
      </c>
      <c r="W121">
        <v>2</v>
      </c>
      <c r="X121">
        <v>1</v>
      </c>
      <c r="Y121">
        <v>1</v>
      </c>
      <c r="Z121" t="s">
        <v>46</v>
      </c>
      <c r="AA121">
        <v>0</v>
      </c>
      <c r="AB121">
        <v>3</v>
      </c>
      <c r="AC121">
        <v>0</v>
      </c>
      <c r="AD121">
        <v>0</v>
      </c>
      <c r="AE121">
        <v>1</v>
      </c>
      <c r="AF121">
        <v>0</v>
      </c>
    </row>
    <row r="122" spans="1:33" x14ac:dyDescent="0.2">
      <c r="A122" t="s">
        <v>314</v>
      </c>
      <c r="B122" t="s">
        <v>41</v>
      </c>
      <c r="C122" t="s">
        <v>42</v>
      </c>
      <c r="D122">
        <v>12</v>
      </c>
      <c r="E122" t="s">
        <v>63</v>
      </c>
      <c r="F122">
        <v>9119</v>
      </c>
      <c r="G122" t="s">
        <v>106</v>
      </c>
      <c r="H122" t="s">
        <v>47</v>
      </c>
      <c r="I122">
        <v>0</v>
      </c>
      <c r="J122">
        <v>0</v>
      </c>
      <c r="K122">
        <v>0</v>
      </c>
      <c r="L122" t="s">
        <v>53</v>
      </c>
      <c r="M122" t="s">
        <v>47</v>
      </c>
      <c r="N122" t="s">
        <v>47</v>
      </c>
      <c r="O122">
        <v>0</v>
      </c>
      <c r="P122">
        <v>0</v>
      </c>
      <c r="Q122">
        <v>1</v>
      </c>
      <c r="S122">
        <v>0</v>
      </c>
      <c r="T122">
        <v>0</v>
      </c>
      <c r="U122">
        <v>0</v>
      </c>
      <c r="V122" t="s">
        <v>46</v>
      </c>
      <c r="W122">
        <v>0</v>
      </c>
      <c r="Y122">
        <v>0</v>
      </c>
      <c r="Z122" t="s">
        <v>46</v>
      </c>
      <c r="AA122">
        <v>0</v>
      </c>
      <c r="AB122">
        <v>1</v>
      </c>
      <c r="AC122">
        <v>1</v>
      </c>
      <c r="AD122">
        <v>0</v>
      </c>
      <c r="AE122">
        <v>0</v>
      </c>
      <c r="AF122">
        <v>0</v>
      </c>
    </row>
    <row r="123" spans="1:33" x14ac:dyDescent="0.2">
      <c r="A123" t="s">
        <v>285</v>
      </c>
      <c r="B123" t="s">
        <v>41</v>
      </c>
      <c r="C123" t="s">
        <v>42</v>
      </c>
      <c r="D123">
        <v>12</v>
      </c>
      <c r="E123" t="s">
        <v>43</v>
      </c>
      <c r="F123">
        <v>2909</v>
      </c>
      <c r="G123" t="s">
        <v>64</v>
      </c>
      <c r="H123" t="s">
        <v>47</v>
      </c>
      <c r="I123">
        <v>0</v>
      </c>
      <c r="J123">
        <v>0</v>
      </c>
      <c r="K123">
        <v>0</v>
      </c>
      <c r="L123" t="s">
        <v>46</v>
      </c>
      <c r="M123" t="s">
        <v>315</v>
      </c>
      <c r="N123" t="s">
        <v>47</v>
      </c>
      <c r="O123">
        <v>0</v>
      </c>
      <c r="P123">
        <v>0</v>
      </c>
      <c r="Q123">
        <v>0</v>
      </c>
      <c r="S123">
        <v>0</v>
      </c>
      <c r="T123">
        <v>1</v>
      </c>
      <c r="U123">
        <v>0</v>
      </c>
      <c r="V123" t="s">
        <v>46</v>
      </c>
      <c r="W123">
        <v>0</v>
      </c>
      <c r="X123">
        <v>0</v>
      </c>
      <c r="Y123">
        <v>0</v>
      </c>
      <c r="Z123" t="s">
        <v>46</v>
      </c>
      <c r="AA123">
        <v>0</v>
      </c>
      <c r="AB123">
        <v>1</v>
      </c>
      <c r="AC123">
        <v>0</v>
      </c>
      <c r="AD123">
        <v>0</v>
      </c>
      <c r="AE123">
        <v>1</v>
      </c>
      <c r="AF123">
        <v>0</v>
      </c>
      <c r="AG123" t="s">
        <v>316</v>
      </c>
    </row>
    <row r="124" spans="1:33" x14ac:dyDescent="0.2">
      <c r="A124" t="s">
        <v>120</v>
      </c>
      <c r="B124" t="s">
        <v>41</v>
      </c>
      <c r="C124" t="s">
        <v>42</v>
      </c>
      <c r="D124">
        <v>12</v>
      </c>
      <c r="E124" t="s">
        <v>63</v>
      </c>
      <c r="F124">
        <v>9119</v>
      </c>
      <c r="G124" t="s">
        <v>56</v>
      </c>
      <c r="H124" t="s">
        <v>47</v>
      </c>
      <c r="I124">
        <v>0</v>
      </c>
      <c r="J124">
        <v>0</v>
      </c>
      <c r="K124">
        <v>0</v>
      </c>
      <c r="L124" t="s">
        <v>46</v>
      </c>
      <c r="M124" t="s">
        <v>47</v>
      </c>
      <c r="N124" t="s">
        <v>47</v>
      </c>
      <c r="O124">
        <v>0</v>
      </c>
      <c r="P124">
        <v>0</v>
      </c>
      <c r="Q124">
        <v>0</v>
      </c>
      <c r="S124">
        <v>0</v>
      </c>
      <c r="T124">
        <v>0</v>
      </c>
      <c r="U124">
        <v>21.8</v>
      </c>
      <c r="V124" t="s">
        <v>46</v>
      </c>
      <c r="W124">
        <v>0</v>
      </c>
      <c r="X124">
        <v>-1</v>
      </c>
      <c r="Y124">
        <v>0</v>
      </c>
      <c r="Z124" t="s">
        <v>46</v>
      </c>
      <c r="AA124">
        <v>0</v>
      </c>
      <c r="AB124">
        <v>3</v>
      </c>
      <c r="AC124">
        <v>1</v>
      </c>
      <c r="AD124">
        <v>0</v>
      </c>
      <c r="AE124">
        <v>0</v>
      </c>
      <c r="AF124">
        <v>0</v>
      </c>
      <c r="AG124" t="s">
        <v>317</v>
      </c>
    </row>
    <row r="125" spans="1:33" x14ac:dyDescent="0.2">
      <c r="A125" t="s">
        <v>288</v>
      </c>
      <c r="B125" t="s">
        <v>41</v>
      </c>
      <c r="C125" t="s">
        <v>42</v>
      </c>
      <c r="D125">
        <v>12</v>
      </c>
      <c r="E125" t="s">
        <v>51</v>
      </c>
      <c r="F125">
        <v>6956</v>
      </c>
      <c r="G125" t="s">
        <v>44</v>
      </c>
      <c r="H125" t="s">
        <v>47</v>
      </c>
      <c r="I125">
        <v>1</v>
      </c>
      <c r="J125">
        <v>1</v>
      </c>
      <c r="K125">
        <v>1</v>
      </c>
      <c r="L125" t="s">
        <v>46</v>
      </c>
      <c r="M125" t="s">
        <v>47</v>
      </c>
      <c r="N125" t="s">
        <v>45</v>
      </c>
      <c r="O125">
        <v>0</v>
      </c>
      <c r="P125">
        <v>1</v>
      </c>
      <c r="Q125">
        <v>0</v>
      </c>
      <c r="S125">
        <v>0</v>
      </c>
      <c r="T125">
        <v>0</v>
      </c>
      <c r="U125">
        <v>0</v>
      </c>
      <c r="V125" t="s">
        <v>49</v>
      </c>
      <c r="W125">
        <v>0</v>
      </c>
      <c r="X125">
        <v>1</v>
      </c>
      <c r="Y125">
        <v>0</v>
      </c>
      <c r="Z125" t="s">
        <v>46</v>
      </c>
      <c r="AA125">
        <v>0</v>
      </c>
      <c r="AB125">
        <v>3</v>
      </c>
      <c r="AC125">
        <v>0</v>
      </c>
      <c r="AD125">
        <v>1</v>
      </c>
      <c r="AE125">
        <v>0</v>
      </c>
      <c r="AF125">
        <v>0</v>
      </c>
    </row>
    <row r="126" spans="1:33" x14ac:dyDescent="0.2">
      <c r="A126" t="s">
        <v>277</v>
      </c>
      <c r="B126" t="s">
        <v>41</v>
      </c>
      <c r="C126" t="s">
        <v>42</v>
      </c>
      <c r="D126">
        <v>13</v>
      </c>
      <c r="E126" t="s">
        <v>43</v>
      </c>
      <c r="F126">
        <v>4982</v>
      </c>
      <c r="G126" t="s">
        <v>78</v>
      </c>
      <c r="H126" t="s">
        <v>47</v>
      </c>
      <c r="I126">
        <v>0</v>
      </c>
      <c r="J126">
        <v>0</v>
      </c>
      <c r="K126">
        <v>0</v>
      </c>
      <c r="L126" t="s">
        <v>46</v>
      </c>
      <c r="M126" t="s">
        <v>318</v>
      </c>
      <c r="N126" t="s">
        <v>150</v>
      </c>
      <c r="O126">
        <v>0</v>
      </c>
      <c r="P126">
        <v>0</v>
      </c>
      <c r="Q126">
        <v>0</v>
      </c>
      <c r="S126">
        <v>0</v>
      </c>
      <c r="T126">
        <v>0</v>
      </c>
      <c r="U126">
        <v>0</v>
      </c>
      <c r="V126" t="s">
        <v>46</v>
      </c>
      <c r="W126">
        <v>0</v>
      </c>
      <c r="X126">
        <v>0</v>
      </c>
      <c r="Y126">
        <v>0</v>
      </c>
      <c r="Z126" t="s">
        <v>46</v>
      </c>
      <c r="AA126">
        <v>0</v>
      </c>
      <c r="AB126">
        <v>3</v>
      </c>
      <c r="AC126">
        <v>1</v>
      </c>
      <c r="AD126">
        <v>0</v>
      </c>
      <c r="AE126">
        <v>0</v>
      </c>
      <c r="AF126">
        <v>0</v>
      </c>
    </row>
    <row r="127" spans="1:33" x14ac:dyDescent="0.2">
      <c r="A127" t="s">
        <v>285</v>
      </c>
      <c r="B127" t="s">
        <v>41</v>
      </c>
      <c r="C127" t="s">
        <v>42</v>
      </c>
      <c r="D127">
        <v>13</v>
      </c>
      <c r="E127" t="s">
        <v>43</v>
      </c>
      <c r="F127">
        <v>4982</v>
      </c>
      <c r="G127" t="s">
        <v>78</v>
      </c>
      <c r="H127" t="s">
        <v>47</v>
      </c>
      <c r="I127">
        <v>0</v>
      </c>
      <c r="J127">
        <v>0</v>
      </c>
      <c r="K127">
        <v>0</v>
      </c>
      <c r="L127" t="s">
        <v>46</v>
      </c>
      <c r="M127" t="s">
        <v>47</v>
      </c>
      <c r="N127" t="s">
        <v>47</v>
      </c>
      <c r="O127">
        <v>0</v>
      </c>
      <c r="P127">
        <v>0</v>
      </c>
      <c r="Q127">
        <v>0</v>
      </c>
      <c r="S127">
        <v>0</v>
      </c>
      <c r="T127">
        <v>0</v>
      </c>
      <c r="U127">
        <v>0</v>
      </c>
      <c r="V127" t="s">
        <v>46</v>
      </c>
      <c r="W127">
        <v>1</v>
      </c>
      <c r="Y127">
        <v>0</v>
      </c>
      <c r="Z127" t="s">
        <v>46</v>
      </c>
      <c r="AA127">
        <v>0</v>
      </c>
      <c r="AB127">
        <v>3</v>
      </c>
      <c r="AC127">
        <v>1</v>
      </c>
      <c r="AD127">
        <v>0</v>
      </c>
      <c r="AE127">
        <v>0</v>
      </c>
      <c r="AF127">
        <v>0</v>
      </c>
      <c r="AG127" t="s">
        <v>319</v>
      </c>
    </row>
    <row r="128" spans="1:33" x14ac:dyDescent="0.2">
      <c r="A128" t="s">
        <v>137</v>
      </c>
      <c r="B128" t="s">
        <v>41</v>
      </c>
      <c r="C128" t="s">
        <v>42</v>
      </c>
      <c r="D128">
        <v>13</v>
      </c>
      <c r="E128" t="s">
        <v>81</v>
      </c>
      <c r="F128">
        <v>3865</v>
      </c>
      <c r="G128" t="s">
        <v>106</v>
      </c>
      <c r="H128" t="s">
        <v>47</v>
      </c>
      <c r="I128">
        <v>1</v>
      </c>
      <c r="J128">
        <v>0</v>
      </c>
      <c r="K128">
        <v>1</v>
      </c>
      <c r="L128" t="s">
        <v>46</v>
      </c>
      <c r="M128" t="s">
        <v>47</v>
      </c>
      <c r="N128" t="s">
        <v>47</v>
      </c>
      <c r="O128">
        <v>0</v>
      </c>
      <c r="P128">
        <v>0</v>
      </c>
      <c r="Q128">
        <v>0</v>
      </c>
      <c r="S128">
        <v>0</v>
      </c>
      <c r="T128">
        <v>0</v>
      </c>
      <c r="U128">
        <v>0</v>
      </c>
      <c r="V128" t="s">
        <v>141</v>
      </c>
      <c r="W128">
        <v>0</v>
      </c>
      <c r="X128">
        <v>0</v>
      </c>
      <c r="Y128">
        <v>0</v>
      </c>
      <c r="Z128" t="s">
        <v>46</v>
      </c>
      <c r="AA128">
        <v>0</v>
      </c>
      <c r="AB128">
        <v>1</v>
      </c>
      <c r="AC128">
        <v>1</v>
      </c>
      <c r="AD128">
        <v>0</v>
      </c>
      <c r="AE128">
        <v>0</v>
      </c>
      <c r="AF128">
        <v>0</v>
      </c>
    </row>
    <row r="129" spans="1:33" x14ac:dyDescent="0.2">
      <c r="A129" t="s">
        <v>224</v>
      </c>
      <c r="B129" t="s">
        <v>41</v>
      </c>
      <c r="C129" t="s">
        <v>42</v>
      </c>
      <c r="D129">
        <v>13</v>
      </c>
      <c r="E129" t="s">
        <v>67</v>
      </c>
      <c r="F129">
        <v>7477</v>
      </c>
      <c r="G129" t="s">
        <v>68</v>
      </c>
      <c r="H129" t="s">
        <v>47</v>
      </c>
      <c r="I129">
        <v>0</v>
      </c>
      <c r="J129">
        <v>0</v>
      </c>
      <c r="K129">
        <v>1</v>
      </c>
      <c r="L129" t="s">
        <v>46</v>
      </c>
      <c r="M129" t="s">
        <v>47</v>
      </c>
      <c r="N129" t="s">
        <v>47</v>
      </c>
      <c r="O129">
        <v>0</v>
      </c>
      <c r="P129">
        <v>0</v>
      </c>
      <c r="Q129">
        <v>0</v>
      </c>
      <c r="S129">
        <v>0</v>
      </c>
      <c r="U129">
        <v>0</v>
      </c>
      <c r="V129" t="s">
        <v>46</v>
      </c>
      <c r="W129">
        <v>0</v>
      </c>
      <c r="X129">
        <v>0</v>
      </c>
      <c r="Y129">
        <v>0</v>
      </c>
      <c r="Z129" t="s">
        <v>46</v>
      </c>
      <c r="AA129">
        <v>0</v>
      </c>
      <c r="AB129">
        <v>2</v>
      </c>
      <c r="AC129">
        <v>0</v>
      </c>
      <c r="AD129">
        <v>0</v>
      </c>
      <c r="AE129">
        <v>0</v>
      </c>
      <c r="AF129">
        <v>0</v>
      </c>
      <c r="AG129" t="s">
        <v>321</v>
      </c>
    </row>
    <row r="130" spans="1:33" x14ac:dyDescent="0.2">
      <c r="A130" t="s">
        <v>302</v>
      </c>
      <c r="B130" t="s">
        <v>41</v>
      </c>
      <c r="C130" t="s">
        <v>42</v>
      </c>
      <c r="D130">
        <v>13</v>
      </c>
      <c r="E130" t="s">
        <v>81</v>
      </c>
      <c r="F130">
        <v>3865</v>
      </c>
      <c r="G130" t="s">
        <v>106</v>
      </c>
      <c r="H130" t="s">
        <v>47</v>
      </c>
      <c r="I130">
        <v>1</v>
      </c>
      <c r="J130">
        <v>0</v>
      </c>
      <c r="K130">
        <v>1</v>
      </c>
      <c r="L130" t="s">
        <v>46</v>
      </c>
      <c r="M130" t="s">
        <v>47</v>
      </c>
      <c r="N130" t="s">
        <v>47</v>
      </c>
      <c r="O130">
        <v>0</v>
      </c>
      <c r="P130">
        <v>0</v>
      </c>
      <c r="Q130">
        <v>0</v>
      </c>
      <c r="S130">
        <v>0</v>
      </c>
      <c r="T130">
        <v>0</v>
      </c>
      <c r="U130">
        <v>0</v>
      </c>
      <c r="V130" t="s">
        <v>46</v>
      </c>
      <c r="W130">
        <v>0</v>
      </c>
      <c r="X130">
        <v>-1</v>
      </c>
      <c r="Y130">
        <v>0</v>
      </c>
      <c r="Z130" t="s">
        <v>46</v>
      </c>
      <c r="AA130">
        <v>0</v>
      </c>
      <c r="AB130">
        <v>3</v>
      </c>
      <c r="AC130">
        <v>1</v>
      </c>
      <c r="AD130">
        <v>0</v>
      </c>
      <c r="AE130">
        <v>0</v>
      </c>
      <c r="AF130">
        <v>0</v>
      </c>
      <c r="AG130" t="s">
        <v>322</v>
      </c>
    </row>
    <row r="131" spans="1:33" x14ac:dyDescent="0.2">
      <c r="A131" t="s">
        <v>84</v>
      </c>
      <c r="B131" t="s">
        <v>41</v>
      </c>
      <c r="C131" t="s">
        <v>42</v>
      </c>
      <c r="D131">
        <v>13</v>
      </c>
      <c r="E131" t="s">
        <v>67</v>
      </c>
      <c r="F131">
        <v>7477</v>
      </c>
      <c r="G131" t="s">
        <v>72</v>
      </c>
      <c r="H131" t="s">
        <v>47</v>
      </c>
      <c r="I131">
        <v>0</v>
      </c>
      <c r="J131">
        <v>0</v>
      </c>
      <c r="K131">
        <v>1</v>
      </c>
      <c r="L131" t="s">
        <v>46</v>
      </c>
      <c r="M131" t="s">
        <v>328</v>
      </c>
      <c r="N131" t="s">
        <v>47</v>
      </c>
      <c r="O131">
        <v>0</v>
      </c>
      <c r="P131">
        <v>0</v>
      </c>
      <c r="Q131">
        <v>0</v>
      </c>
      <c r="S131">
        <v>0</v>
      </c>
      <c r="T131">
        <v>2</v>
      </c>
      <c r="U131">
        <v>0</v>
      </c>
      <c r="V131" t="s">
        <v>49</v>
      </c>
      <c r="W131">
        <v>0</v>
      </c>
      <c r="X131">
        <v>0</v>
      </c>
      <c r="Y131">
        <v>0</v>
      </c>
      <c r="Z131" t="s">
        <v>54</v>
      </c>
      <c r="AA131">
        <v>0</v>
      </c>
      <c r="AB131">
        <v>1</v>
      </c>
      <c r="AC131">
        <v>0</v>
      </c>
      <c r="AD131">
        <v>0</v>
      </c>
      <c r="AE131">
        <v>0</v>
      </c>
      <c r="AF131">
        <v>0</v>
      </c>
      <c r="AG131" t="s">
        <v>329</v>
      </c>
    </row>
    <row r="132" spans="1:33" x14ac:dyDescent="0.2">
      <c r="A132" t="s">
        <v>140</v>
      </c>
      <c r="B132" t="s">
        <v>41</v>
      </c>
      <c r="C132" t="s">
        <v>42</v>
      </c>
      <c r="D132">
        <v>13</v>
      </c>
      <c r="E132" t="s">
        <v>63</v>
      </c>
      <c r="F132">
        <v>1018</v>
      </c>
      <c r="G132" t="s">
        <v>56</v>
      </c>
      <c r="H132" t="s">
        <v>48</v>
      </c>
      <c r="I132">
        <v>0</v>
      </c>
      <c r="J132">
        <v>0</v>
      </c>
      <c r="K132">
        <v>1</v>
      </c>
      <c r="L132" t="s">
        <v>46</v>
      </c>
      <c r="M132" t="s">
        <v>47</v>
      </c>
      <c r="N132" t="s">
        <v>330</v>
      </c>
      <c r="O132">
        <v>0</v>
      </c>
      <c r="P132">
        <v>0</v>
      </c>
      <c r="Q132">
        <v>0</v>
      </c>
      <c r="S132">
        <v>0</v>
      </c>
      <c r="T132">
        <v>1</v>
      </c>
      <c r="U132">
        <v>0</v>
      </c>
      <c r="V132" t="s">
        <v>60</v>
      </c>
      <c r="W132">
        <v>2</v>
      </c>
      <c r="X132">
        <v>2</v>
      </c>
      <c r="Y132">
        <v>0</v>
      </c>
      <c r="Z132" t="s">
        <v>49</v>
      </c>
      <c r="AA132">
        <v>0</v>
      </c>
      <c r="AB132">
        <v>3</v>
      </c>
      <c r="AC132">
        <v>0</v>
      </c>
      <c r="AD132">
        <v>0</v>
      </c>
      <c r="AE132">
        <v>1</v>
      </c>
      <c r="AF132">
        <v>1</v>
      </c>
    </row>
    <row r="133" spans="1:33" x14ac:dyDescent="0.2">
      <c r="A133" t="s">
        <v>50</v>
      </c>
      <c r="B133" t="s">
        <v>41</v>
      </c>
      <c r="C133" t="s">
        <v>42</v>
      </c>
      <c r="D133">
        <v>13</v>
      </c>
      <c r="E133" t="s">
        <v>51</v>
      </c>
      <c r="F133">
        <v>135</v>
      </c>
      <c r="G133" t="s">
        <v>44</v>
      </c>
      <c r="H133" t="s">
        <v>45</v>
      </c>
      <c r="I133">
        <v>0</v>
      </c>
      <c r="J133">
        <v>0</v>
      </c>
      <c r="K133">
        <v>1</v>
      </c>
      <c r="L133" t="s">
        <v>46</v>
      </c>
      <c r="M133" t="s">
        <v>331</v>
      </c>
      <c r="N133" t="s">
        <v>332</v>
      </c>
      <c r="O133">
        <v>0</v>
      </c>
      <c r="P133">
        <v>0</v>
      </c>
      <c r="Q133">
        <v>0</v>
      </c>
      <c r="S133">
        <v>1</v>
      </c>
      <c r="T133">
        <v>3</v>
      </c>
      <c r="U133">
        <v>12.8</v>
      </c>
      <c r="V133" t="s">
        <v>53</v>
      </c>
      <c r="W133">
        <v>2</v>
      </c>
      <c r="X133">
        <v>1</v>
      </c>
      <c r="Y133">
        <v>1</v>
      </c>
      <c r="Z133" t="s">
        <v>181</v>
      </c>
      <c r="AA133">
        <v>0</v>
      </c>
      <c r="AB133">
        <v>3</v>
      </c>
      <c r="AC133">
        <v>0</v>
      </c>
      <c r="AD133">
        <v>0</v>
      </c>
      <c r="AE133">
        <v>0</v>
      </c>
      <c r="AF133">
        <v>1</v>
      </c>
      <c r="AG133" t="s">
        <v>333</v>
      </c>
    </row>
    <row r="134" spans="1:33" x14ac:dyDescent="0.2">
      <c r="A134" t="s">
        <v>66</v>
      </c>
      <c r="B134" t="s">
        <v>41</v>
      </c>
      <c r="C134" t="s">
        <v>42</v>
      </c>
      <c r="D134">
        <v>13</v>
      </c>
      <c r="E134" t="s">
        <v>67</v>
      </c>
      <c r="F134">
        <v>7477</v>
      </c>
      <c r="G134" t="s">
        <v>68</v>
      </c>
      <c r="H134" t="s">
        <v>47</v>
      </c>
      <c r="I134">
        <v>0</v>
      </c>
      <c r="J134">
        <v>0</v>
      </c>
      <c r="K134">
        <v>0</v>
      </c>
      <c r="L134" t="s">
        <v>46</v>
      </c>
      <c r="M134" t="s">
        <v>47</v>
      </c>
      <c r="N134" t="s">
        <v>47</v>
      </c>
      <c r="O134">
        <v>0</v>
      </c>
      <c r="P134">
        <v>0</v>
      </c>
      <c r="Q134">
        <v>0</v>
      </c>
      <c r="S134">
        <v>0</v>
      </c>
      <c r="U134">
        <v>0</v>
      </c>
      <c r="V134" t="s">
        <v>49</v>
      </c>
      <c r="W134">
        <v>0</v>
      </c>
      <c r="X134">
        <v>0</v>
      </c>
      <c r="Y134">
        <v>0</v>
      </c>
      <c r="Z134" t="s">
        <v>54</v>
      </c>
      <c r="AA134">
        <v>0</v>
      </c>
      <c r="AB134">
        <v>1</v>
      </c>
      <c r="AC134">
        <v>0</v>
      </c>
      <c r="AD134">
        <v>1</v>
      </c>
      <c r="AE134">
        <v>1</v>
      </c>
      <c r="AF134">
        <v>0</v>
      </c>
      <c r="AG134" t="s">
        <v>320</v>
      </c>
    </row>
    <row r="135" spans="1:33" x14ac:dyDescent="0.2">
      <c r="A135" t="s">
        <v>128</v>
      </c>
      <c r="B135" t="s">
        <v>41</v>
      </c>
      <c r="C135" t="s">
        <v>42</v>
      </c>
      <c r="D135">
        <v>13</v>
      </c>
      <c r="E135" t="s">
        <v>85</v>
      </c>
      <c r="F135">
        <v>9071</v>
      </c>
      <c r="G135" t="s">
        <v>71</v>
      </c>
      <c r="H135" t="s">
        <v>47</v>
      </c>
      <c r="I135">
        <v>0</v>
      </c>
      <c r="J135">
        <v>0</v>
      </c>
      <c r="K135">
        <v>1</v>
      </c>
      <c r="L135" t="s">
        <v>46</v>
      </c>
      <c r="M135" t="s">
        <v>323</v>
      </c>
      <c r="N135" t="s">
        <v>324</v>
      </c>
      <c r="O135">
        <v>0</v>
      </c>
      <c r="P135">
        <v>0</v>
      </c>
      <c r="Q135">
        <v>1</v>
      </c>
      <c r="R135">
        <v>1018</v>
      </c>
      <c r="S135">
        <v>0</v>
      </c>
      <c r="T135">
        <v>2</v>
      </c>
      <c r="U135">
        <v>0</v>
      </c>
      <c r="V135" t="s">
        <v>46</v>
      </c>
      <c r="W135">
        <v>0</v>
      </c>
      <c r="X135">
        <v>0</v>
      </c>
      <c r="Y135">
        <v>0</v>
      </c>
      <c r="Z135" t="s">
        <v>46</v>
      </c>
      <c r="AA135">
        <v>0</v>
      </c>
      <c r="AB135">
        <v>1</v>
      </c>
      <c r="AC135">
        <v>0</v>
      </c>
      <c r="AD135">
        <v>1</v>
      </c>
      <c r="AE135">
        <v>1</v>
      </c>
      <c r="AF135">
        <v>0</v>
      </c>
      <c r="AG135" t="s">
        <v>325</v>
      </c>
    </row>
    <row r="136" spans="1:33" x14ac:dyDescent="0.2">
      <c r="A136" t="s">
        <v>135</v>
      </c>
      <c r="B136" t="s">
        <v>41</v>
      </c>
      <c r="C136" t="s">
        <v>42</v>
      </c>
      <c r="D136">
        <v>13</v>
      </c>
      <c r="E136" t="s">
        <v>85</v>
      </c>
      <c r="F136">
        <v>9071</v>
      </c>
      <c r="G136" t="s">
        <v>68</v>
      </c>
      <c r="H136" t="s">
        <v>47</v>
      </c>
      <c r="I136">
        <v>0</v>
      </c>
      <c r="J136">
        <v>0</v>
      </c>
      <c r="K136">
        <v>0</v>
      </c>
      <c r="L136" t="s">
        <v>46</v>
      </c>
      <c r="M136" t="s">
        <v>47</v>
      </c>
      <c r="N136" t="s">
        <v>326</v>
      </c>
      <c r="O136">
        <v>0</v>
      </c>
      <c r="P136">
        <v>0</v>
      </c>
      <c r="Q136">
        <v>0</v>
      </c>
      <c r="R136">
        <v>135</v>
      </c>
      <c r="S136">
        <v>0</v>
      </c>
      <c r="T136">
        <v>2</v>
      </c>
      <c r="U136">
        <v>0</v>
      </c>
      <c r="V136" t="s">
        <v>46</v>
      </c>
      <c r="W136">
        <v>1</v>
      </c>
      <c r="X136">
        <v>0</v>
      </c>
      <c r="Y136">
        <v>0</v>
      </c>
      <c r="Z136" t="s">
        <v>54</v>
      </c>
      <c r="AA136">
        <v>0</v>
      </c>
      <c r="AB136">
        <v>1</v>
      </c>
      <c r="AC136">
        <v>0</v>
      </c>
      <c r="AD136">
        <v>1</v>
      </c>
      <c r="AE136">
        <v>0</v>
      </c>
      <c r="AF136">
        <v>0</v>
      </c>
      <c r="AG136" t="s">
        <v>327</v>
      </c>
    </row>
    <row r="137" spans="1:33" x14ac:dyDescent="0.2">
      <c r="A137" t="s">
        <v>143</v>
      </c>
      <c r="B137" t="s">
        <v>41</v>
      </c>
      <c r="C137" t="s">
        <v>42</v>
      </c>
      <c r="D137">
        <v>14</v>
      </c>
      <c r="E137" t="s">
        <v>81</v>
      </c>
      <c r="F137">
        <v>45</v>
      </c>
      <c r="G137" t="s">
        <v>71</v>
      </c>
      <c r="H137" t="s">
        <v>47</v>
      </c>
      <c r="I137">
        <v>0</v>
      </c>
      <c r="J137">
        <v>1</v>
      </c>
      <c r="K137">
        <v>1</v>
      </c>
      <c r="L137" t="s">
        <v>46</v>
      </c>
      <c r="M137" t="s">
        <v>349</v>
      </c>
      <c r="N137" t="s">
        <v>69</v>
      </c>
      <c r="O137">
        <v>0</v>
      </c>
      <c r="P137">
        <v>1</v>
      </c>
      <c r="Q137">
        <v>0</v>
      </c>
      <c r="S137">
        <v>0</v>
      </c>
      <c r="T137">
        <v>1</v>
      </c>
      <c r="U137">
        <v>25</v>
      </c>
      <c r="V137" t="s">
        <v>49</v>
      </c>
      <c r="W137">
        <v>2</v>
      </c>
      <c r="X137">
        <v>1</v>
      </c>
      <c r="Y137">
        <v>0</v>
      </c>
      <c r="Z137" t="s">
        <v>46</v>
      </c>
      <c r="AA137">
        <v>0</v>
      </c>
      <c r="AB137">
        <v>5</v>
      </c>
      <c r="AC137">
        <v>0</v>
      </c>
      <c r="AD137">
        <v>1</v>
      </c>
      <c r="AE137">
        <v>1</v>
      </c>
      <c r="AF137">
        <v>0</v>
      </c>
    </row>
    <row r="138" spans="1:33" x14ac:dyDescent="0.2">
      <c r="A138" t="s">
        <v>334</v>
      </c>
      <c r="B138" t="s">
        <v>41</v>
      </c>
      <c r="C138" t="s">
        <v>42</v>
      </c>
      <c r="D138">
        <v>14</v>
      </c>
      <c r="E138" t="s">
        <v>85</v>
      </c>
      <c r="F138">
        <v>1555</v>
      </c>
      <c r="G138" t="s">
        <v>106</v>
      </c>
      <c r="H138" t="s">
        <v>47</v>
      </c>
      <c r="I138">
        <v>0</v>
      </c>
      <c r="J138">
        <v>0</v>
      </c>
      <c r="K138">
        <v>0</v>
      </c>
      <c r="L138" t="s">
        <v>46</v>
      </c>
      <c r="M138" t="s">
        <v>47</v>
      </c>
      <c r="N138" t="s">
        <v>47</v>
      </c>
      <c r="O138">
        <v>0</v>
      </c>
      <c r="P138">
        <v>0</v>
      </c>
      <c r="Q138">
        <v>0</v>
      </c>
      <c r="S138">
        <v>0</v>
      </c>
      <c r="T138">
        <v>0</v>
      </c>
      <c r="U138">
        <v>21.2</v>
      </c>
      <c r="V138" t="s">
        <v>60</v>
      </c>
      <c r="W138">
        <v>2</v>
      </c>
      <c r="X138">
        <v>1</v>
      </c>
      <c r="Y138">
        <v>0</v>
      </c>
      <c r="Z138" t="s">
        <v>60</v>
      </c>
      <c r="AA138">
        <v>0</v>
      </c>
      <c r="AB138">
        <v>3</v>
      </c>
      <c r="AC138">
        <v>0</v>
      </c>
      <c r="AD138">
        <v>0</v>
      </c>
      <c r="AE138">
        <v>0</v>
      </c>
      <c r="AF138">
        <v>0</v>
      </c>
    </row>
    <row r="139" spans="1:33" x14ac:dyDescent="0.2">
      <c r="A139" t="s">
        <v>66</v>
      </c>
      <c r="B139" t="s">
        <v>41</v>
      </c>
      <c r="C139" t="s">
        <v>42</v>
      </c>
      <c r="D139">
        <v>14</v>
      </c>
      <c r="E139" t="s">
        <v>67</v>
      </c>
      <c r="F139">
        <v>868</v>
      </c>
      <c r="G139" t="s">
        <v>68</v>
      </c>
      <c r="H139" t="s">
        <v>87</v>
      </c>
      <c r="I139">
        <v>0</v>
      </c>
      <c r="J139">
        <v>1</v>
      </c>
      <c r="K139">
        <v>1</v>
      </c>
      <c r="L139" t="s">
        <v>60</v>
      </c>
      <c r="M139" t="s">
        <v>47</v>
      </c>
      <c r="N139" t="s">
        <v>337</v>
      </c>
      <c r="O139">
        <v>0</v>
      </c>
      <c r="P139">
        <v>1</v>
      </c>
      <c r="Q139">
        <v>0</v>
      </c>
      <c r="S139">
        <v>0</v>
      </c>
      <c r="T139">
        <v>3</v>
      </c>
      <c r="U139">
        <v>0</v>
      </c>
      <c r="V139" t="s">
        <v>60</v>
      </c>
      <c r="W139">
        <v>2</v>
      </c>
      <c r="X139">
        <v>2</v>
      </c>
      <c r="Y139">
        <v>0</v>
      </c>
      <c r="Z139" t="s">
        <v>46</v>
      </c>
      <c r="AA139">
        <v>1</v>
      </c>
      <c r="AB139">
        <v>5</v>
      </c>
      <c r="AC139">
        <v>0</v>
      </c>
      <c r="AD139">
        <v>0</v>
      </c>
      <c r="AE139">
        <v>0</v>
      </c>
      <c r="AF139">
        <v>1</v>
      </c>
      <c r="AG139" t="s">
        <v>338</v>
      </c>
    </row>
    <row r="140" spans="1:33" x14ac:dyDescent="0.2">
      <c r="A140" t="s">
        <v>128</v>
      </c>
      <c r="B140" t="s">
        <v>41</v>
      </c>
      <c r="C140" t="s">
        <v>42</v>
      </c>
      <c r="D140">
        <v>14</v>
      </c>
      <c r="E140" t="s">
        <v>85</v>
      </c>
      <c r="F140">
        <v>1555</v>
      </c>
      <c r="G140" t="s">
        <v>106</v>
      </c>
      <c r="H140" t="s">
        <v>47</v>
      </c>
      <c r="I140">
        <v>0</v>
      </c>
      <c r="J140">
        <v>0</v>
      </c>
      <c r="K140">
        <v>0</v>
      </c>
      <c r="L140" t="s">
        <v>46</v>
      </c>
      <c r="M140" t="s">
        <v>339</v>
      </c>
      <c r="N140" t="s">
        <v>174</v>
      </c>
      <c r="O140">
        <v>0</v>
      </c>
      <c r="P140">
        <v>0</v>
      </c>
      <c r="Q140">
        <v>0</v>
      </c>
      <c r="S140">
        <v>0</v>
      </c>
      <c r="U140">
        <v>19.8</v>
      </c>
      <c r="V140" t="s">
        <v>53</v>
      </c>
      <c r="W140">
        <v>2</v>
      </c>
      <c r="X140">
        <v>0</v>
      </c>
      <c r="Y140">
        <v>0</v>
      </c>
      <c r="Z140" t="s">
        <v>54</v>
      </c>
      <c r="AA140">
        <v>0</v>
      </c>
      <c r="AB140">
        <v>4</v>
      </c>
      <c r="AC140">
        <v>0</v>
      </c>
      <c r="AD140">
        <v>0</v>
      </c>
      <c r="AE140">
        <v>0</v>
      </c>
      <c r="AF140">
        <v>0</v>
      </c>
      <c r="AG140" t="s">
        <v>340</v>
      </c>
    </row>
    <row r="141" spans="1:33" x14ac:dyDescent="0.2">
      <c r="A141" t="s">
        <v>224</v>
      </c>
      <c r="B141" t="s">
        <v>41</v>
      </c>
      <c r="C141" t="s">
        <v>42</v>
      </c>
      <c r="D141">
        <v>14</v>
      </c>
      <c r="E141" t="s">
        <v>67</v>
      </c>
      <c r="F141">
        <v>868</v>
      </c>
      <c r="G141" t="s">
        <v>68</v>
      </c>
      <c r="H141" t="s">
        <v>87</v>
      </c>
      <c r="I141">
        <v>0</v>
      </c>
      <c r="J141">
        <v>0</v>
      </c>
      <c r="K141">
        <v>1</v>
      </c>
      <c r="L141" t="s">
        <v>60</v>
      </c>
      <c r="M141" t="s">
        <v>341</v>
      </c>
      <c r="N141" t="s">
        <v>174</v>
      </c>
      <c r="O141">
        <v>0</v>
      </c>
      <c r="P141">
        <v>1</v>
      </c>
      <c r="Q141">
        <v>0</v>
      </c>
      <c r="S141">
        <v>0</v>
      </c>
      <c r="T141">
        <v>1</v>
      </c>
      <c r="U141">
        <v>0</v>
      </c>
      <c r="V141" t="s">
        <v>60</v>
      </c>
      <c r="W141">
        <v>2</v>
      </c>
      <c r="X141">
        <v>1</v>
      </c>
      <c r="Y141">
        <v>0</v>
      </c>
      <c r="Z141" t="s">
        <v>49</v>
      </c>
      <c r="AA141">
        <v>0</v>
      </c>
      <c r="AB141">
        <v>3</v>
      </c>
      <c r="AC141">
        <v>0</v>
      </c>
      <c r="AD141">
        <v>0</v>
      </c>
      <c r="AE141">
        <v>0</v>
      </c>
      <c r="AF141">
        <v>0</v>
      </c>
      <c r="AG141" t="s">
        <v>342</v>
      </c>
    </row>
    <row r="142" spans="1:33" x14ac:dyDescent="0.2">
      <c r="A142" t="s">
        <v>80</v>
      </c>
      <c r="B142" t="s">
        <v>41</v>
      </c>
      <c r="C142" t="s">
        <v>42</v>
      </c>
      <c r="D142">
        <v>14</v>
      </c>
      <c r="E142" t="s">
        <v>81</v>
      </c>
      <c r="F142">
        <v>45</v>
      </c>
      <c r="G142" t="s">
        <v>71</v>
      </c>
      <c r="H142" t="s">
        <v>45</v>
      </c>
      <c r="I142">
        <v>1</v>
      </c>
      <c r="J142">
        <v>1</v>
      </c>
      <c r="K142">
        <v>1</v>
      </c>
      <c r="L142" t="s">
        <v>46</v>
      </c>
      <c r="M142" t="s">
        <v>343</v>
      </c>
      <c r="N142" t="s">
        <v>268</v>
      </c>
      <c r="O142">
        <v>0</v>
      </c>
      <c r="P142">
        <v>1</v>
      </c>
      <c r="Q142">
        <v>0</v>
      </c>
      <c r="S142">
        <v>0</v>
      </c>
      <c r="T142">
        <v>3</v>
      </c>
      <c r="U142">
        <v>0</v>
      </c>
      <c r="V142" t="s">
        <v>49</v>
      </c>
      <c r="W142">
        <v>2</v>
      </c>
      <c r="X142">
        <v>1</v>
      </c>
      <c r="Y142">
        <v>0</v>
      </c>
      <c r="Z142" t="s">
        <v>46</v>
      </c>
      <c r="AA142">
        <v>0</v>
      </c>
      <c r="AB142">
        <v>4</v>
      </c>
      <c r="AC142">
        <v>1</v>
      </c>
      <c r="AD142">
        <v>0</v>
      </c>
      <c r="AE142">
        <v>0</v>
      </c>
      <c r="AF142">
        <v>0</v>
      </c>
      <c r="AG142" t="s">
        <v>344</v>
      </c>
    </row>
    <row r="143" spans="1:33" x14ac:dyDescent="0.2">
      <c r="A143" t="s">
        <v>112</v>
      </c>
      <c r="B143" t="s">
        <v>41</v>
      </c>
      <c r="C143" t="s">
        <v>42</v>
      </c>
      <c r="D143">
        <v>14</v>
      </c>
      <c r="E143" t="s">
        <v>67</v>
      </c>
      <c r="F143">
        <v>868</v>
      </c>
      <c r="G143" t="s">
        <v>68</v>
      </c>
      <c r="H143" t="s">
        <v>87</v>
      </c>
      <c r="I143">
        <v>0</v>
      </c>
      <c r="J143">
        <v>0</v>
      </c>
      <c r="K143">
        <v>1</v>
      </c>
      <c r="L143" t="s">
        <v>60</v>
      </c>
      <c r="M143" t="s">
        <v>345</v>
      </c>
      <c r="N143" t="s">
        <v>47</v>
      </c>
      <c r="O143">
        <v>0</v>
      </c>
      <c r="P143">
        <v>0</v>
      </c>
      <c r="Q143">
        <v>0</v>
      </c>
      <c r="S143">
        <v>0</v>
      </c>
      <c r="T143">
        <v>1</v>
      </c>
      <c r="U143">
        <v>3.4</v>
      </c>
      <c r="V143" t="s">
        <v>60</v>
      </c>
      <c r="W143">
        <v>2</v>
      </c>
      <c r="X143">
        <v>1</v>
      </c>
      <c r="Y143">
        <v>0</v>
      </c>
      <c r="Z143" t="s">
        <v>49</v>
      </c>
      <c r="AA143">
        <v>1</v>
      </c>
      <c r="AB143">
        <v>4</v>
      </c>
      <c r="AC143">
        <v>0</v>
      </c>
      <c r="AD143">
        <v>0</v>
      </c>
      <c r="AE143">
        <v>0</v>
      </c>
      <c r="AF143">
        <v>1</v>
      </c>
    </row>
    <row r="144" spans="1:33" x14ac:dyDescent="0.2">
      <c r="A144" t="s">
        <v>50</v>
      </c>
      <c r="B144" t="s">
        <v>41</v>
      </c>
      <c r="C144" t="s">
        <v>42</v>
      </c>
      <c r="D144">
        <v>14</v>
      </c>
      <c r="E144" t="s">
        <v>51</v>
      </c>
      <c r="F144">
        <v>71</v>
      </c>
      <c r="G144" t="s">
        <v>44</v>
      </c>
      <c r="H144" t="s">
        <v>47</v>
      </c>
      <c r="I144">
        <v>1</v>
      </c>
      <c r="J144">
        <v>0</v>
      </c>
      <c r="K144">
        <v>1</v>
      </c>
      <c r="L144" t="s">
        <v>46</v>
      </c>
      <c r="M144" t="s">
        <v>346</v>
      </c>
      <c r="N144" t="s">
        <v>347</v>
      </c>
      <c r="O144">
        <v>0</v>
      </c>
      <c r="P144">
        <v>0</v>
      </c>
      <c r="Q144">
        <v>0</v>
      </c>
      <c r="S144">
        <v>1</v>
      </c>
      <c r="T144">
        <v>2</v>
      </c>
      <c r="U144">
        <v>4.0999999999999996</v>
      </c>
      <c r="V144" t="s">
        <v>53</v>
      </c>
      <c r="W144">
        <v>2</v>
      </c>
      <c r="X144">
        <v>2</v>
      </c>
      <c r="Y144">
        <v>3</v>
      </c>
      <c r="Z144" t="s">
        <v>46</v>
      </c>
      <c r="AA144">
        <v>0</v>
      </c>
      <c r="AB144">
        <v>4</v>
      </c>
      <c r="AC144">
        <v>0</v>
      </c>
      <c r="AD144">
        <v>0</v>
      </c>
      <c r="AE144">
        <v>0</v>
      </c>
      <c r="AF144">
        <v>0</v>
      </c>
      <c r="AG144" t="s">
        <v>348</v>
      </c>
    </row>
    <row r="145" spans="1:33" x14ac:dyDescent="0.2">
      <c r="A145" t="s">
        <v>353</v>
      </c>
      <c r="B145" t="s">
        <v>41</v>
      </c>
      <c r="C145" t="s">
        <v>42</v>
      </c>
      <c r="D145">
        <v>14</v>
      </c>
      <c r="E145" t="s">
        <v>51</v>
      </c>
      <c r="F145">
        <v>71</v>
      </c>
      <c r="G145" t="s">
        <v>44</v>
      </c>
      <c r="H145" t="s">
        <v>47</v>
      </c>
      <c r="I145">
        <v>1</v>
      </c>
      <c r="J145">
        <v>0</v>
      </c>
      <c r="K145">
        <v>1</v>
      </c>
      <c r="L145" t="s">
        <v>46</v>
      </c>
      <c r="M145" t="s">
        <v>354</v>
      </c>
      <c r="N145" t="s">
        <v>355</v>
      </c>
      <c r="O145">
        <v>2</v>
      </c>
      <c r="P145">
        <v>0</v>
      </c>
      <c r="Q145">
        <v>0</v>
      </c>
      <c r="S145">
        <v>1</v>
      </c>
      <c r="T145">
        <v>2</v>
      </c>
      <c r="U145">
        <v>0</v>
      </c>
      <c r="V145" t="s">
        <v>60</v>
      </c>
      <c r="W145">
        <v>2</v>
      </c>
      <c r="X145">
        <v>2</v>
      </c>
      <c r="Y145">
        <v>0</v>
      </c>
      <c r="Z145" t="s">
        <v>46</v>
      </c>
      <c r="AA145">
        <v>0</v>
      </c>
      <c r="AB145">
        <v>4</v>
      </c>
      <c r="AC145">
        <v>0</v>
      </c>
      <c r="AD145">
        <v>0</v>
      </c>
      <c r="AE145">
        <v>0</v>
      </c>
      <c r="AF145">
        <v>1</v>
      </c>
    </row>
    <row r="146" spans="1:33" x14ac:dyDescent="0.2">
      <c r="A146" t="s">
        <v>285</v>
      </c>
      <c r="B146" t="s">
        <v>41</v>
      </c>
      <c r="C146" t="s">
        <v>42</v>
      </c>
      <c r="D146">
        <v>14</v>
      </c>
      <c r="E146" t="s">
        <v>43</v>
      </c>
      <c r="F146">
        <v>9208</v>
      </c>
      <c r="G146" t="s">
        <v>56</v>
      </c>
      <c r="H146" t="s">
        <v>93</v>
      </c>
      <c r="I146">
        <v>1</v>
      </c>
      <c r="J146">
        <v>1</v>
      </c>
      <c r="K146">
        <v>1</v>
      </c>
      <c r="L146" t="s">
        <v>46</v>
      </c>
      <c r="M146" t="s">
        <v>350</v>
      </c>
      <c r="N146" t="s">
        <v>351</v>
      </c>
      <c r="O146">
        <v>1</v>
      </c>
      <c r="P146">
        <v>1</v>
      </c>
      <c r="Q146">
        <v>0</v>
      </c>
      <c r="S146">
        <v>1</v>
      </c>
      <c r="T146">
        <v>0</v>
      </c>
      <c r="U146">
        <v>2.2000000000000002</v>
      </c>
      <c r="V146" t="s">
        <v>60</v>
      </c>
      <c r="W146">
        <v>2</v>
      </c>
      <c r="X146">
        <v>2</v>
      </c>
      <c r="Y146">
        <v>1</v>
      </c>
      <c r="Z146" t="s">
        <v>46</v>
      </c>
      <c r="AA146">
        <v>0</v>
      </c>
      <c r="AB146">
        <v>4</v>
      </c>
      <c r="AC146">
        <v>0</v>
      </c>
      <c r="AD146">
        <v>0</v>
      </c>
      <c r="AE146">
        <v>0</v>
      </c>
      <c r="AF146">
        <v>0</v>
      </c>
      <c r="AG146" t="s">
        <v>352</v>
      </c>
    </row>
    <row r="147" spans="1:33" x14ac:dyDescent="0.2">
      <c r="A147" t="s">
        <v>277</v>
      </c>
      <c r="B147" t="s">
        <v>41</v>
      </c>
      <c r="C147" t="s">
        <v>42</v>
      </c>
      <c r="D147">
        <v>14</v>
      </c>
      <c r="E147" t="s">
        <v>43</v>
      </c>
      <c r="F147">
        <v>9208</v>
      </c>
      <c r="G147" t="s">
        <v>64</v>
      </c>
      <c r="H147" t="s">
        <v>93</v>
      </c>
      <c r="I147">
        <v>0</v>
      </c>
      <c r="J147">
        <v>0</v>
      </c>
      <c r="K147">
        <v>0</v>
      </c>
      <c r="L147" t="s">
        <v>46</v>
      </c>
      <c r="M147" t="s">
        <v>335</v>
      </c>
      <c r="N147" t="s">
        <v>336</v>
      </c>
      <c r="O147">
        <v>0</v>
      </c>
      <c r="P147">
        <v>1</v>
      </c>
      <c r="Q147">
        <v>0</v>
      </c>
      <c r="S147">
        <v>1</v>
      </c>
      <c r="T147">
        <v>0</v>
      </c>
      <c r="U147">
        <v>53.6</v>
      </c>
      <c r="V147" t="s">
        <v>60</v>
      </c>
      <c r="W147">
        <v>2</v>
      </c>
      <c r="X147">
        <v>2</v>
      </c>
      <c r="Y147">
        <v>3</v>
      </c>
      <c r="Z147" t="s">
        <v>46</v>
      </c>
      <c r="AA147">
        <v>0</v>
      </c>
      <c r="AB147">
        <v>4</v>
      </c>
      <c r="AC147">
        <v>0</v>
      </c>
      <c r="AD147">
        <v>1</v>
      </c>
      <c r="AE147">
        <v>0</v>
      </c>
      <c r="AF147">
        <v>1</v>
      </c>
    </row>
    <row r="148" spans="1:33" x14ac:dyDescent="0.2">
      <c r="A148" t="s">
        <v>334</v>
      </c>
      <c r="B148" t="s">
        <v>41</v>
      </c>
      <c r="C148" t="s">
        <v>42</v>
      </c>
      <c r="D148">
        <v>15</v>
      </c>
      <c r="E148" t="s">
        <v>85</v>
      </c>
      <c r="F148">
        <v>3147</v>
      </c>
      <c r="G148" t="s">
        <v>92</v>
      </c>
      <c r="H148" t="s">
        <v>47</v>
      </c>
      <c r="I148">
        <v>0</v>
      </c>
      <c r="J148">
        <v>0</v>
      </c>
      <c r="K148">
        <v>0</v>
      </c>
      <c r="L148" t="s">
        <v>46</v>
      </c>
      <c r="M148" t="s">
        <v>372</v>
      </c>
      <c r="N148" t="s">
        <v>306</v>
      </c>
      <c r="O148">
        <v>0</v>
      </c>
      <c r="P148">
        <v>0</v>
      </c>
      <c r="Q148">
        <v>0</v>
      </c>
      <c r="S148">
        <v>1</v>
      </c>
      <c r="T148">
        <v>0</v>
      </c>
      <c r="U148">
        <v>0</v>
      </c>
      <c r="V148" t="s">
        <v>60</v>
      </c>
      <c r="W148">
        <v>2</v>
      </c>
      <c r="X148">
        <v>1</v>
      </c>
      <c r="Y148">
        <v>1</v>
      </c>
      <c r="Z148" t="s">
        <v>46</v>
      </c>
      <c r="AA148">
        <v>0</v>
      </c>
      <c r="AB148">
        <v>3</v>
      </c>
      <c r="AC148">
        <v>0</v>
      </c>
      <c r="AD148">
        <v>1</v>
      </c>
      <c r="AE148">
        <v>1</v>
      </c>
      <c r="AF148">
        <v>0</v>
      </c>
    </row>
    <row r="149" spans="1:33" x14ac:dyDescent="0.2">
      <c r="A149" t="s">
        <v>277</v>
      </c>
      <c r="B149" t="s">
        <v>41</v>
      </c>
      <c r="C149" t="s">
        <v>42</v>
      </c>
      <c r="D149">
        <v>15</v>
      </c>
      <c r="E149" t="s">
        <v>43</v>
      </c>
      <c r="F149">
        <v>3487</v>
      </c>
      <c r="G149" t="s">
        <v>44</v>
      </c>
      <c r="H149" t="s">
        <v>47</v>
      </c>
      <c r="I149">
        <v>0</v>
      </c>
      <c r="J149">
        <v>0</v>
      </c>
      <c r="K149">
        <v>0</v>
      </c>
      <c r="L149" t="s">
        <v>46</v>
      </c>
      <c r="M149" t="s">
        <v>356</v>
      </c>
      <c r="N149" t="s">
        <v>357</v>
      </c>
      <c r="O149">
        <v>0</v>
      </c>
      <c r="P149">
        <v>1</v>
      </c>
      <c r="Q149">
        <v>0</v>
      </c>
      <c r="S149">
        <v>1</v>
      </c>
      <c r="T149">
        <v>1</v>
      </c>
      <c r="U149">
        <v>63.3</v>
      </c>
      <c r="V149" t="s">
        <v>53</v>
      </c>
      <c r="W149">
        <v>1</v>
      </c>
      <c r="X149">
        <v>1</v>
      </c>
      <c r="Y149">
        <v>2</v>
      </c>
      <c r="Z149" t="s">
        <v>46</v>
      </c>
      <c r="AA149">
        <v>0</v>
      </c>
      <c r="AB149">
        <v>3</v>
      </c>
      <c r="AC149">
        <v>0</v>
      </c>
      <c r="AD149">
        <v>0</v>
      </c>
      <c r="AE149">
        <v>0</v>
      </c>
      <c r="AF149">
        <v>1</v>
      </c>
    </row>
    <row r="150" spans="1:33" x14ac:dyDescent="0.2">
      <c r="A150" t="s">
        <v>285</v>
      </c>
      <c r="B150" t="s">
        <v>41</v>
      </c>
      <c r="C150" t="s">
        <v>42</v>
      </c>
      <c r="D150">
        <v>15</v>
      </c>
      <c r="E150" t="s">
        <v>43</v>
      </c>
      <c r="F150">
        <v>3487</v>
      </c>
      <c r="G150" t="s">
        <v>44</v>
      </c>
      <c r="H150" t="s">
        <v>47</v>
      </c>
      <c r="I150">
        <v>1</v>
      </c>
      <c r="J150">
        <v>1</v>
      </c>
      <c r="K150">
        <v>1</v>
      </c>
      <c r="L150" t="s">
        <v>46</v>
      </c>
      <c r="M150" t="s">
        <v>366</v>
      </c>
      <c r="N150" t="s">
        <v>367</v>
      </c>
      <c r="O150">
        <v>0</v>
      </c>
      <c r="P150">
        <v>0</v>
      </c>
      <c r="Q150">
        <v>0</v>
      </c>
      <c r="S150">
        <v>0</v>
      </c>
      <c r="T150">
        <v>2</v>
      </c>
      <c r="U150">
        <v>0</v>
      </c>
      <c r="V150" t="s">
        <v>46</v>
      </c>
      <c r="W150">
        <v>0</v>
      </c>
      <c r="X150">
        <v>0</v>
      </c>
      <c r="Y150">
        <v>0</v>
      </c>
      <c r="Z150" t="s">
        <v>46</v>
      </c>
      <c r="AA150">
        <v>0</v>
      </c>
      <c r="AB150">
        <v>2</v>
      </c>
      <c r="AC150">
        <v>0</v>
      </c>
      <c r="AD150">
        <v>0</v>
      </c>
      <c r="AE150">
        <v>0</v>
      </c>
      <c r="AF150">
        <v>0</v>
      </c>
      <c r="AG150" t="s">
        <v>368</v>
      </c>
    </row>
    <row r="151" spans="1:33" x14ac:dyDescent="0.2">
      <c r="A151" t="s">
        <v>80</v>
      </c>
      <c r="B151" t="s">
        <v>41</v>
      </c>
      <c r="C151" t="s">
        <v>42</v>
      </c>
      <c r="D151">
        <v>15</v>
      </c>
      <c r="E151" t="s">
        <v>81</v>
      </c>
      <c r="F151">
        <v>4962</v>
      </c>
      <c r="G151" t="s">
        <v>68</v>
      </c>
      <c r="H151" t="s">
        <v>47</v>
      </c>
      <c r="I151">
        <v>0</v>
      </c>
      <c r="J151">
        <v>0</v>
      </c>
      <c r="K151">
        <v>0</v>
      </c>
      <c r="L151" t="s">
        <v>49</v>
      </c>
      <c r="M151" t="s">
        <v>358</v>
      </c>
      <c r="N151" t="s">
        <v>359</v>
      </c>
      <c r="O151">
        <v>0</v>
      </c>
      <c r="P151">
        <v>1</v>
      </c>
      <c r="Q151">
        <v>0</v>
      </c>
      <c r="S151">
        <v>1</v>
      </c>
      <c r="T151">
        <v>0</v>
      </c>
      <c r="U151">
        <v>0</v>
      </c>
      <c r="V151" t="s">
        <v>46</v>
      </c>
      <c r="W151">
        <v>2</v>
      </c>
      <c r="X151">
        <v>1</v>
      </c>
      <c r="Y151">
        <v>0</v>
      </c>
      <c r="Z151" t="s">
        <v>46</v>
      </c>
      <c r="AA151">
        <v>0</v>
      </c>
      <c r="AB151">
        <v>4</v>
      </c>
      <c r="AC151">
        <v>0</v>
      </c>
      <c r="AD151">
        <v>0</v>
      </c>
      <c r="AE151">
        <v>0</v>
      </c>
      <c r="AF151">
        <v>0</v>
      </c>
      <c r="AG151" t="s">
        <v>360</v>
      </c>
    </row>
    <row r="152" spans="1:33" x14ac:dyDescent="0.2">
      <c r="A152" t="s">
        <v>128</v>
      </c>
      <c r="B152" t="s">
        <v>41</v>
      </c>
      <c r="C152" t="s">
        <v>42</v>
      </c>
      <c r="D152">
        <v>15</v>
      </c>
      <c r="E152" t="s">
        <v>85</v>
      </c>
      <c r="F152">
        <v>3147</v>
      </c>
      <c r="G152" t="s">
        <v>106</v>
      </c>
      <c r="H152" t="s">
        <v>57</v>
      </c>
      <c r="I152">
        <v>1</v>
      </c>
      <c r="J152">
        <v>0</v>
      </c>
      <c r="K152">
        <v>1</v>
      </c>
      <c r="L152" t="s">
        <v>46</v>
      </c>
      <c r="M152" t="s">
        <v>361</v>
      </c>
      <c r="N152" t="s">
        <v>306</v>
      </c>
      <c r="O152">
        <v>0</v>
      </c>
      <c r="P152">
        <v>0</v>
      </c>
      <c r="Q152">
        <v>0</v>
      </c>
      <c r="S152">
        <v>0</v>
      </c>
      <c r="T152">
        <v>1</v>
      </c>
      <c r="U152">
        <v>11.5</v>
      </c>
      <c r="V152" t="s">
        <v>60</v>
      </c>
      <c r="W152">
        <v>2</v>
      </c>
      <c r="X152">
        <v>1</v>
      </c>
      <c r="Y152">
        <v>0</v>
      </c>
      <c r="Z152" t="s">
        <v>46</v>
      </c>
      <c r="AA152">
        <v>0</v>
      </c>
      <c r="AB152">
        <v>1</v>
      </c>
      <c r="AC152">
        <v>0</v>
      </c>
      <c r="AD152">
        <v>0</v>
      </c>
      <c r="AE152">
        <v>1</v>
      </c>
      <c r="AF152">
        <v>0</v>
      </c>
      <c r="AG152" t="s">
        <v>362</v>
      </c>
    </row>
    <row r="153" spans="1:33" x14ac:dyDescent="0.2">
      <c r="A153" t="s">
        <v>50</v>
      </c>
      <c r="B153" t="s">
        <v>41</v>
      </c>
      <c r="C153" t="s">
        <v>42</v>
      </c>
      <c r="D153">
        <v>15</v>
      </c>
      <c r="E153" t="s">
        <v>51</v>
      </c>
      <c r="F153">
        <v>3176</v>
      </c>
      <c r="G153" t="s">
        <v>56</v>
      </c>
      <c r="H153" t="s">
        <v>57</v>
      </c>
      <c r="I153">
        <v>1</v>
      </c>
      <c r="J153">
        <v>0</v>
      </c>
      <c r="K153">
        <v>1</v>
      </c>
      <c r="L153" t="s">
        <v>46</v>
      </c>
      <c r="M153" t="s">
        <v>363</v>
      </c>
      <c r="N153" t="s">
        <v>364</v>
      </c>
      <c r="O153">
        <v>0</v>
      </c>
      <c r="P153">
        <v>0</v>
      </c>
      <c r="Q153">
        <v>1</v>
      </c>
      <c r="R153">
        <v>4926</v>
      </c>
      <c r="S153">
        <v>1</v>
      </c>
      <c r="T153">
        <v>0</v>
      </c>
      <c r="U153">
        <v>0</v>
      </c>
      <c r="V153" t="s">
        <v>46</v>
      </c>
      <c r="W153">
        <v>2</v>
      </c>
      <c r="X153">
        <v>2</v>
      </c>
      <c r="Y153">
        <v>5</v>
      </c>
      <c r="Z153" t="s">
        <v>46</v>
      </c>
      <c r="AA153">
        <v>1</v>
      </c>
      <c r="AB153">
        <v>5</v>
      </c>
      <c r="AC153">
        <v>0</v>
      </c>
      <c r="AD153">
        <v>0</v>
      </c>
      <c r="AE153">
        <v>0</v>
      </c>
      <c r="AF153">
        <v>1</v>
      </c>
      <c r="AG153" t="s">
        <v>365</v>
      </c>
    </row>
    <row r="154" spans="1:33" x14ac:dyDescent="0.2">
      <c r="A154" t="s">
        <v>120</v>
      </c>
      <c r="B154" t="s">
        <v>41</v>
      </c>
      <c r="C154" t="s">
        <v>42</v>
      </c>
      <c r="D154">
        <v>15</v>
      </c>
      <c r="E154" t="s">
        <v>63</v>
      </c>
      <c r="F154">
        <v>1024</v>
      </c>
      <c r="G154" t="s">
        <v>64</v>
      </c>
      <c r="H154" t="s">
        <v>47</v>
      </c>
      <c r="I154">
        <v>0</v>
      </c>
      <c r="J154">
        <v>1</v>
      </c>
      <c r="K154">
        <v>0</v>
      </c>
      <c r="L154" t="s">
        <v>60</v>
      </c>
      <c r="M154" t="s">
        <v>369</v>
      </c>
      <c r="N154" t="s">
        <v>370</v>
      </c>
      <c r="O154">
        <v>0</v>
      </c>
      <c r="P154">
        <v>0</v>
      </c>
      <c r="Q154">
        <v>0</v>
      </c>
      <c r="S154">
        <v>0</v>
      </c>
      <c r="T154">
        <v>3</v>
      </c>
      <c r="U154">
        <v>8.1</v>
      </c>
      <c r="V154" t="s">
        <v>49</v>
      </c>
      <c r="W154">
        <v>1</v>
      </c>
      <c r="X154">
        <v>1</v>
      </c>
      <c r="Y154">
        <v>5</v>
      </c>
      <c r="Z154" t="s">
        <v>46</v>
      </c>
      <c r="AA154">
        <v>1</v>
      </c>
      <c r="AB154">
        <v>3</v>
      </c>
      <c r="AC154">
        <v>0</v>
      </c>
      <c r="AD154">
        <v>0</v>
      </c>
      <c r="AE154">
        <v>0</v>
      </c>
      <c r="AF154">
        <v>1</v>
      </c>
      <c r="AG154" t="s">
        <v>371</v>
      </c>
    </row>
    <row r="155" spans="1:33" x14ac:dyDescent="0.2">
      <c r="A155" t="s">
        <v>66</v>
      </c>
      <c r="B155" t="s">
        <v>41</v>
      </c>
      <c r="C155" t="s">
        <v>42</v>
      </c>
      <c r="D155">
        <v>15</v>
      </c>
      <c r="E155" t="s">
        <v>67</v>
      </c>
      <c r="F155">
        <v>8103</v>
      </c>
      <c r="G155" t="s">
        <v>71</v>
      </c>
      <c r="H155" t="s">
        <v>47</v>
      </c>
      <c r="I155">
        <v>1</v>
      </c>
      <c r="J155">
        <v>0</v>
      </c>
      <c r="K155">
        <v>1</v>
      </c>
      <c r="L155" t="s">
        <v>46</v>
      </c>
      <c r="M155" t="s">
        <v>47</v>
      </c>
      <c r="N155" t="s">
        <v>45</v>
      </c>
      <c r="O155">
        <v>0</v>
      </c>
      <c r="P155">
        <v>0</v>
      </c>
      <c r="Q155">
        <v>1</v>
      </c>
      <c r="R155">
        <v>3176</v>
      </c>
      <c r="S155">
        <v>0</v>
      </c>
      <c r="T155">
        <v>2</v>
      </c>
      <c r="U155">
        <v>0</v>
      </c>
      <c r="V155" t="s">
        <v>60</v>
      </c>
      <c r="W155">
        <v>2</v>
      </c>
      <c r="X155">
        <v>0</v>
      </c>
      <c r="Y155">
        <v>0</v>
      </c>
      <c r="Z155" t="s">
        <v>46</v>
      </c>
      <c r="AA155">
        <v>0</v>
      </c>
      <c r="AB155">
        <v>2</v>
      </c>
      <c r="AC155">
        <v>0</v>
      </c>
      <c r="AD155">
        <v>0</v>
      </c>
      <c r="AE155">
        <v>0</v>
      </c>
      <c r="AF155">
        <v>0</v>
      </c>
      <c r="AG155" t="s">
        <v>373</v>
      </c>
    </row>
    <row r="156" spans="1:33" x14ac:dyDescent="0.2">
      <c r="A156" t="s">
        <v>143</v>
      </c>
      <c r="B156" t="s">
        <v>41</v>
      </c>
      <c r="C156" t="s">
        <v>42</v>
      </c>
      <c r="D156">
        <v>15</v>
      </c>
      <c r="E156" t="s">
        <v>81</v>
      </c>
      <c r="F156">
        <v>4926</v>
      </c>
      <c r="G156" t="s">
        <v>68</v>
      </c>
      <c r="H156" t="s">
        <v>47</v>
      </c>
      <c r="I156">
        <v>0</v>
      </c>
      <c r="J156">
        <v>0</v>
      </c>
      <c r="K156">
        <v>1</v>
      </c>
      <c r="L156" t="s">
        <v>49</v>
      </c>
      <c r="M156" t="s">
        <v>374</v>
      </c>
      <c r="N156" t="s">
        <v>359</v>
      </c>
      <c r="O156">
        <v>0</v>
      </c>
      <c r="P156">
        <v>0</v>
      </c>
      <c r="Q156">
        <v>0</v>
      </c>
      <c r="S156">
        <v>0</v>
      </c>
      <c r="T156">
        <v>3</v>
      </c>
      <c r="U156">
        <v>29.7</v>
      </c>
      <c r="V156" t="s">
        <v>46</v>
      </c>
      <c r="W156">
        <v>2</v>
      </c>
      <c r="X156">
        <v>1</v>
      </c>
      <c r="Y156">
        <v>0</v>
      </c>
      <c r="Z156" t="s">
        <v>46</v>
      </c>
      <c r="AA156">
        <v>1</v>
      </c>
      <c r="AB156">
        <v>4</v>
      </c>
      <c r="AC156">
        <v>0</v>
      </c>
      <c r="AD156">
        <v>0</v>
      </c>
      <c r="AE156">
        <v>0</v>
      </c>
      <c r="AF156">
        <v>0</v>
      </c>
    </row>
    <row r="157" spans="1:33" x14ac:dyDescent="0.2">
      <c r="A157" t="s">
        <v>112</v>
      </c>
      <c r="B157" t="s">
        <v>41</v>
      </c>
      <c r="C157" t="s">
        <v>42</v>
      </c>
      <c r="D157">
        <v>15</v>
      </c>
      <c r="E157" t="s">
        <v>67</v>
      </c>
      <c r="F157">
        <v>8104</v>
      </c>
      <c r="G157" t="s">
        <v>71</v>
      </c>
      <c r="H157" t="s">
        <v>47</v>
      </c>
      <c r="I157">
        <v>1</v>
      </c>
      <c r="J157">
        <v>1</v>
      </c>
      <c r="K157">
        <v>1</v>
      </c>
      <c r="L157" t="s">
        <v>46</v>
      </c>
      <c r="M157" t="s">
        <v>375</v>
      </c>
      <c r="N157" t="s">
        <v>376</v>
      </c>
      <c r="O157">
        <v>0</v>
      </c>
      <c r="P157">
        <v>1</v>
      </c>
      <c r="Q157">
        <v>0</v>
      </c>
      <c r="S157">
        <v>0</v>
      </c>
      <c r="T157">
        <v>2</v>
      </c>
      <c r="U157">
        <v>7.9</v>
      </c>
      <c r="V157" t="s">
        <v>60</v>
      </c>
      <c r="W157">
        <v>2</v>
      </c>
      <c r="X157">
        <v>2</v>
      </c>
      <c r="Y157">
        <v>0</v>
      </c>
      <c r="Z157" t="s">
        <v>49</v>
      </c>
      <c r="AA157">
        <v>1</v>
      </c>
      <c r="AB157">
        <v>4</v>
      </c>
      <c r="AC157">
        <v>0</v>
      </c>
      <c r="AD157">
        <v>0</v>
      </c>
      <c r="AE157">
        <v>0</v>
      </c>
      <c r="AF157">
        <v>1</v>
      </c>
    </row>
    <row r="158" spans="1:33" x14ac:dyDescent="0.2">
      <c r="A158" t="s">
        <v>224</v>
      </c>
      <c r="B158" t="s">
        <v>41</v>
      </c>
      <c r="C158" t="s">
        <v>42</v>
      </c>
      <c r="D158">
        <v>15</v>
      </c>
      <c r="E158" t="s">
        <v>67</v>
      </c>
      <c r="F158">
        <v>8103</v>
      </c>
      <c r="G158" t="s">
        <v>71</v>
      </c>
      <c r="H158" t="s">
        <v>47</v>
      </c>
      <c r="I158">
        <v>0</v>
      </c>
      <c r="J158">
        <v>0</v>
      </c>
      <c r="K158">
        <v>1</v>
      </c>
      <c r="L158" t="s">
        <v>46</v>
      </c>
      <c r="M158" t="s">
        <v>377</v>
      </c>
      <c r="N158" t="s">
        <v>378</v>
      </c>
      <c r="O158">
        <v>0</v>
      </c>
      <c r="P158">
        <v>0</v>
      </c>
      <c r="Q158">
        <v>0</v>
      </c>
      <c r="S158">
        <v>0</v>
      </c>
      <c r="T158">
        <v>2</v>
      </c>
      <c r="U158">
        <v>0</v>
      </c>
      <c r="V158" t="s">
        <v>60</v>
      </c>
      <c r="W158">
        <v>2</v>
      </c>
      <c r="X158">
        <v>1</v>
      </c>
      <c r="Y158">
        <v>0</v>
      </c>
      <c r="Z158" t="s">
        <v>49</v>
      </c>
      <c r="AA158">
        <v>0</v>
      </c>
      <c r="AB158">
        <v>3</v>
      </c>
      <c r="AC158">
        <v>0</v>
      </c>
      <c r="AD158">
        <v>0</v>
      </c>
      <c r="AE158">
        <v>0</v>
      </c>
      <c r="AF158">
        <v>0</v>
      </c>
      <c r="AG158" t="s">
        <v>379</v>
      </c>
    </row>
    <row r="159" spans="1:33" x14ac:dyDescent="0.2">
      <c r="A159" t="s">
        <v>353</v>
      </c>
      <c r="B159" t="s">
        <v>41</v>
      </c>
      <c r="C159" t="s">
        <v>42</v>
      </c>
      <c r="D159">
        <v>15</v>
      </c>
      <c r="E159" t="s">
        <v>51</v>
      </c>
      <c r="F159">
        <v>3176</v>
      </c>
      <c r="G159" t="s">
        <v>56</v>
      </c>
      <c r="H159" t="s">
        <v>306</v>
      </c>
      <c r="I159">
        <v>1</v>
      </c>
      <c r="J159">
        <v>0</v>
      </c>
      <c r="K159">
        <v>1</v>
      </c>
      <c r="L159" t="s">
        <v>46</v>
      </c>
      <c r="M159" t="s">
        <v>380</v>
      </c>
      <c r="N159" t="s">
        <v>381</v>
      </c>
      <c r="O159">
        <v>0</v>
      </c>
      <c r="P159">
        <v>0</v>
      </c>
      <c r="Q159">
        <v>0</v>
      </c>
      <c r="S159">
        <v>1</v>
      </c>
      <c r="T159">
        <v>0</v>
      </c>
      <c r="U159">
        <v>0</v>
      </c>
      <c r="V159" t="s">
        <v>46</v>
      </c>
      <c r="W159">
        <v>1</v>
      </c>
      <c r="X159">
        <v>2</v>
      </c>
      <c r="Y159">
        <v>2</v>
      </c>
      <c r="Z159" t="s">
        <v>46</v>
      </c>
      <c r="AA159">
        <v>1</v>
      </c>
      <c r="AB159">
        <v>5</v>
      </c>
      <c r="AC159">
        <v>0</v>
      </c>
      <c r="AD159">
        <v>0</v>
      </c>
      <c r="AE159">
        <v>0</v>
      </c>
      <c r="AF159">
        <v>0</v>
      </c>
    </row>
    <row r="160" spans="1:33" x14ac:dyDescent="0.2">
      <c r="A160" t="s">
        <v>97</v>
      </c>
      <c r="B160" t="s">
        <v>41</v>
      </c>
      <c r="C160" t="s">
        <v>42</v>
      </c>
      <c r="D160">
        <v>16</v>
      </c>
      <c r="E160" t="s">
        <v>85</v>
      </c>
      <c r="F160">
        <v>1747</v>
      </c>
      <c r="G160" t="s">
        <v>92</v>
      </c>
      <c r="H160" t="s">
        <v>47</v>
      </c>
      <c r="I160">
        <v>0</v>
      </c>
      <c r="J160">
        <v>0</v>
      </c>
      <c r="K160">
        <v>0</v>
      </c>
      <c r="L160" t="s">
        <v>46</v>
      </c>
      <c r="M160" t="s">
        <v>47</v>
      </c>
      <c r="N160" t="s">
        <v>47</v>
      </c>
      <c r="O160">
        <v>0</v>
      </c>
      <c r="P160">
        <v>0</v>
      </c>
      <c r="Q160">
        <v>0</v>
      </c>
      <c r="S160">
        <v>0</v>
      </c>
      <c r="T160">
        <v>0</v>
      </c>
      <c r="U160">
        <v>0</v>
      </c>
      <c r="V160" t="s">
        <v>46</v>
      </c>
      <c r="W160">
        <v>0</v>
      </c>
      <c r="X160">
        <v>0</v>
      </c>
      <c r="Y160">
        <v>0</v>
      </c>
      <c r="Z160" t="s">
        <v>46</v>
      </c>
      <c r="AA160">
        <v>0</v>
      </c>
      <c r="AB160">
        <v>1</v>
      </c>
      <c r="AC160">
        <v>1</v>
      </c>
      <c r="AD160">
        <v>0</v>
      </c>
      <c r="AE160">
        <v>0</v>
      </c>
      <c r="AF160">
        <v>0</v>
      </c>
      <c r="AG160" t="s">
        <v>382</v>
      </c>
    </row>
    <row r="161" spans="1:33" x14ac:dyDescent="0.2">
      <c r="A161" t="s">
        <v>191</v>
      </c>
      <c r="B161" t="s">
        <v>41</v>
      </c>
      <c r="C161" t="s">
        <v>42</v>
      </c>
      <c r="D161">
        <v>16</v>
      </c>
      <c r="E161" t="s">
        <v>51</v>
      </c>
      <c r="F161">
        <v>2197</v>
      </c>
      <c r="G161" t="s">
        <v>64</v>
      </c>
      <c r="H161" t="s">
        <v>47</v>
      </c>
      <c r="I161">
        <v>1</v>
      </c>
      <c r="J161">
        <v>1</v>
      </c>
      <c r="K161">
        <v>0</v>
      </c>
      <c r="L161" t="s">
        <v>60</v>
      </c>
      <c r="M161" t="s">
        <v>47</v>
      </c>
      <c r="N161" t="s">
        <v>47</v>
      </c>
      <c r="O161">
        <v>2</v>
      </c>
      <c r="P161">
        <v>0</v>
      </c>
      <c r="Q161">
        <v>0</v>
      </c>
      <c r="S161">
        <v>0</v>
      </c>
      <c r="T161">
        <v>0</v>
      </c>
      <c r="U161">
        <v>17.100000000000001</v>
      </c>
      <c r="V161" t="s">
        <v>49</v>
      </c>
      <c r="W161">
        <v>2</v>
      </c>
      <c r="X161">
        <v>1</v>
      </c>
      <c r="Y161">
        <v>0</v>
      </c>
      <c r="Z161" t="s">
        <v>46</v>
      </c>
      <c r="AA161">
        <v>0</v>
      </c>
      <c r="AB161">
        <v>3</v>
      </c>
      <c r="AC161">
        <v>0</v>
      </c>
      <c r="AD161">
        <v>0</v>
      </c>
      <c r="AE161">
        <v>1</v>
      </c>
      <c r="AF161">
        <v>0</v>
      </c>
      <c r="AG161" t="s">
        <v>388</v>
      </c>
    </row>
    <row r="162" spans="1:33" x14ac:dyDescent="0.2">
      <c r="A162" t="s">
        <v>167</v>
      </c>
      <c r="B162" t="s">
        <v>41</v>
      </c>
      <c r="C162" t="s">
        <v>42</v>
      </c>
      <c r="D162">
        <v>16</v>
      </c>
      <c r="E162" t="s">
        <v>63</v>
      </c>
      <c r="F162">
        <v>1501</v>
      </c>
      <c r="G162" t="s">
        <v>56</v>
      </c>
      <c r="H162" t="s">
        <v>57</v>
      </c>
      <c r="I162">
        <v>0</v>
      </c>
      <c r="J162">
        <v>1</v>
      </c>
      <c r="K162">
        <v>0</v>
      </c>
      <c r="L162" t="s">
        <v>46</v>
      </c>
      <c r="M162" t="s">
        <v>400</v>
      </c>
      <c r="N162" t="s">
        <v>401</v>
      </c>
      <c r="O162">
        <v>0</v>
      </c>
      <c r="P162">
        <v>1</v>
      </c>
      <c r="Q162">
        <v>0</v>
      </c>
      <c r="S162">
        <v>0</v>
      </c>
      <c r="T162">
        <v>0</v>
      </c>
      <c r="U162">
        <v>13.9</v>
      </c>
      <c r="V162" t="s">
        <v>60</v>
      </c>
      <c r="W162">
        <v>2</v>
      </c>
      <c r="X162">
        <v>1</v>
      </c>
      <c r="Y162">
        <v>0</v>
      </c>
      <c r="Z162" t="s">
        <v>46</v>
      </c>
      <c r="AA162">
        <v>0</v>
      </c>
      <c r="AB162">
        <v>3</v>
      </c>
      <c r="AC162">
        <v>0</v>
      </c>
      <c r="AD162">
        <v>0</v>
      </c>
      <c r="AE162">
        <v>0</v>
      </c>
      <c r="AF162">
        <v>0</v>
      </c>
      <c r="AG162" t="s">
        <v>402</v>
      </c>
    </row>
    <row r="163" spans="1:33" x14ac:dyDescent="0.2">
      <c r="A163" t="s">
        <v>211</v>
      </c>
      <c r="B163" t="s">
        <v>41</v>
      </c>
      <c r="C163" t="s">
        <v>42</v>
      </c>
      <c r="D163">
        <v>16</v>
      </c>
      <c r="E163" t="s">
        <v>85</v>
      </c>
      <c r="F163">
        <v>1747</v>
      </c>
      <c r="G163" t="s">
        <v>106</v>
      </c>
      <c r="H163" t="s">
        <v>47</v>
      </c>
      <c r="I163">
        <v>0</v>
      </c>
      <c r="J163">
        <v>0</v>
      </c>
      <c r="K163">
        <v>0</v>
      </c>
      <c r="L163" t="s">
        <v>46</v>
      </c>
      <c r="M163" t="s">
        <v>47</v>
      </c>
      <c r="N163" t="s">
        <v>47</v>
      </c>
      <c r="O163">
        <v>0</v>
      </c>
      <c r="P163">
        <v>0</v>
      </c>
      <c r="Q163">
        <v>0</v>
      </c>
      <c r="S163">
        <v>0</v>
      </c>
      <c r="T163">
        <v>0</v>
      </c>
      <c r="U163">
        <v>0</v>
      </c>
      <c r="V163" t="s">
        <v>46</v>
      </c>
      <c r="W163">
        <v>0</v>
      </c>
      <c r="X163">
        <v>-1</v>
      </c>
      <c r="Y163">
        <v>0</v>
      </c>
      <c r="Z163" t="s">
        <v>46</v>
      </c>
      <c r="AA163">
        <v>0</v>
      </c>
      <c r="AB163">
        <v>3</v>
      </c>
      <c r="AC163">
        <v>1</v>
      </c>
      <c r="AD163">
        <v>0</v>
      </c>
      <c r="AE163">
        <v>0</v>
      </c>
      <c r="AF163">
        <v>0</v>
      </c>
      <c r="AG163" t="s">
        <v>415</v>
      </c>
    </row>
    <row r="164" spans="1:33" x14ac:dyDescent="0.2">
      <c r="A164" t="s">
        <v>422</v>
      </c>
      <c r="B164" t="s">
        <v>41</v>
      </c>
      <c r="C164" t="s">
        <v>42</v>
      </c>
      <c r="D164">
        <v>17</v>
      </c>
      <c r="E164" t="s">
        <v>67</v>
      </c>
      <c r="F164">
        <v>5402</v>
      </c>
      <c r="G164" t="s">
        <v>71</v>
      </c>
      <c r="H164" t="s">
        <v>47</v>
      </c>
      <c r="I164">
        <v>1</v>
      </c>
      <c r="J164">
        <v>0</v>
      </c>
      <c r="K164">
        <v>0</v>
      </c>
      <c r="L164" t="s">
        <v>46</v>
      </c>
      <c r="M164" t="s">
        <v>47</v>
      </c>
      <c r="N164" t="s">
        <v>423</v>
      </c>
      <c r="O164">
        <v>0</v>
      </c>
      <c r="P164">
        <v>0</v>
      </c>
      <c r="Q164">
        <v>0</v>
      </c>
      <c r="S164">
        <v>0</v>
      </c>
      <c r="T164">
        <v>3</v>
      </c>
      <c r="U164">
        <v>0</v>
      </c>
      <c r="V164" t="s">
        <v>60</v>
      </c>
      <c r="W164">
        <v>2</v>
      </c>
      <c r="X164">
        <v>1</v>
      </c>
      <c r="Y164">
        <v>0</v>
      </c>
      <c r="Z164" t="s">
        <v>46</v>
      </c>
      <c r="AA164">
        <v>1</v>
      </c>
      <c r="AB164">
        <v>2</v>
      </c>
      <c r="AC164">
        <v>0</v>
      </c>
      <c r="AD164">
        <v>1</v>
      </c>
      <c r="AE164">
        <v>0</v>
      </c>
      <c r="AF164">
        <v>0</v>
      </c>
      <c r="AG164" t="s">
        <v>424</v>
      </c>
    </row>
    <row r="165" spans="1:33" x14ac:dyDescent="0.2">
      <c r="A165" t="s">
        <v>191</v>
      </c>
      <c r="B165" t="s">
        <v>41</v>
      </c>
      <c r="C165" t="s">
        <v>42</v>
      </c>
      <c r="D165">
        <v>17</v>
      </c>
      <c r="E165" t="s">
        <v>51</v>
      </c>
      <c r="F165">
        <v>862</v>
      </c>
      <c r="G165" t="s">
        <v>64</v>
      </c>
      <c r="H165" t="s">
        <v>129</v>
      </c>
      <c r="I165">
        <v>0</v>
      </c>
      <c r="J165">
        <v>1</v>
      </c>
      <c r="K165">
        <v>0</v>
      </c>
      <c r="L165" t="s">
        <v>60</v>
      </c>
      <c r="M165" t="s">
        <v>389</v>
      </c>
      <c r="N165" t="s">
        <v>390</v>
      </c>
      <c r="O165">
        <v>0</v>
      </c>
      <c r="P165">
        <v>0</v>
      </c>
      <c r="Q165">
        <v>0</v>
      </c>
      <c r="S165">
        <v>1</v>
      </c>
      <c r="T165">
        <v>3</v>
      </c>
      <c r="U165">
        <v>0</v>
      </c>
      <c r="V165" t="s">
        <v>60</v>
      </c>
      <c r="W165">
        <v>2</v>
      </c>
      <c r="X165">
        <v>2</v>
      </c>
      <c r="Y165">
        <v>1</v>
      </c>
      <c r="Z165" t="s">
        <v>46</v>
      </c>
      <c r="AA165">
        <v>1</v>
      </c>
      <c r="AB165">
        <v>5</v>
      </c>
      <c r="AC165">
        <v>0</v>
      </c>
      <c r="AD165">
        <v>0</v>
      </c>
      <c r="AE165">
        <v>1</v>
      </c>
      <c r="AF165">
        <v>1</v>
      </c>
      <c r="AG165" t="s">
        <v>391</v>
      </c>
    </row>
    <row r="166" spans="1:33" x14ac:dyDescent="0.2">
      <c r="A166" t="s">
        <v>167</v>
      </c>
      <c r="B166" t="s">
        <v>41</v>
      </c>
      <c r="C166" t="s">
        <v>42</v>
      </c>
      <c r="D166">
        <v>17</v>
      </c>
      <c r="E166" t="s">
        <v>63</v>
      </c>
      <c r="F166">
        <v>2867</v>
      </c>
      <c r="G166" t="s">
        <v>56</v>
      </c>
      <c r="H166" t="s">
        <v>47</v>
      </c>
      <c r="I166">
        <v>0</v>
      </c>
      <c r="J166">
        <v>0</v>
      </c>
      <c r="K166">
        <v>0</v>
      </c>
      <c r="L166" t="s">
        <v>46</v>
      </c>
      <c r="M166" t="s">
        <v>403</v>
      </c>
      <c r="N166" t="s">
        <v>404</v>
      </c>
      <c r="O166">
        <v>0</v>
      </c>
      <c r="P166">
        <v>1</v>
      </c>
      <c r="Q166">
        <v>0</v>
      </c>
      <c r="S166">
        <v>1</v>
      </c>
      <c r="T166">
        <v>1</v>
      </c>
      <c r="U166">
        <v>7.6</v>
      </c>
      <c r="V166" t="s">
        <v>60</v>
      </c>
      <c r="W166">
        <v>2</v>
      </c>
      <c r="X166">
        <v>2</v>
      </c>
      <c r="Y166">
        <v>0</v>
      </c>
      <c r="Z166" t="s">
        <v>46</v>
      </c>
      <c r="AA166">
        <v>0</v>
      </c>
      <c r="AB166">
        <v>3</v>
      </c>
      <c r="AC166">
        <v>0</v>
      </c>
      <c r="AD166">
        <v>0</v>
      </c>
      <c r="AE166">
        <v>0</v>
      </c>
      <c r="AF166">
        <v>0</v>
      </c>
      <c r="AG166" t="s">
        <v>405</v>
      </c>
    </row>
    <row r="167" spans="1:33" x14ac:dyDescent="0.2">
      <c r="A167" t="s">
        <v>211</v>
      </c>
      <c r="B167" t="s">
        <v>41</v>
      </c>
      <c r="C167" t="s">
        <v>42</v>
      </c>
      <c r="D167">
        <v>17</v>
      </c>
      <c r="E167" t="s">
        <v>85</v>
      </c>
      <c r="F167">
        <v>6721</v>
      </c>
      <c r="G167" t="s">
        <v>106</v>
      </c>
      <c r="H167" t="s">
        <v>47</v>
      </c>
      <c r="I167">
        <v>0</v>
      </c>
      <c r="J167">
        <v>0</v>
      </c>
      <c r="K167">
        <v>0</v>
      </c>
      <c r="L167" t="s">
        <v>46</v>
      </c>
      <c r="M167" t="s">
        <v>47</v>
      </c>
      <c r="N167" t="s">
        <v>47</v>
      </c>
      <c r="O167">
        <v>0</v>
      </c>
      <c r="P167">
        <v>1</v>
      </c>
      <c r="Q167">
        <v>0</v>
      </c>
      <c r="S167">
        <v>0</v>
      </c>
      <c r="T167">
        <v>0</v>
      </c>
      <c r="U167">
        <v>0</v>
      </c>
      <c r="V167" t="s">
        <v>46</v>
      </c>
      <c r="W167">
        <v>2</v>
      </c>
      <c r="X167">
        <v>1</v>
      </c>
      <c r="Y167">
        <v>0</v>
      </c>
      <c r="Z167" t="s">
        <v>49</v>
      </c>
      <c r="AA167">
        <v>0</v>
      </c>
      <c r="AB167">
        <v>3</v>
      </c>
      <c r="AC167">
        <v>1</v>
      </c>
      <c r="AD167">
        <v>1</v>
      </c>
      <c r="AE167">
        <v>1</v>
      </c>
      <c r="AF167">
        <v>0</v>
      </c>
      <c r="AG167" t="s">
        <v>416</v>
      </c>
    </row>
    <row r="168" spans="1:33" x14ac:dyDescent="0.2">
      <c r="A168" t="s">
        <v>80</v>
      </c>
      <c r="B168" t="s">
        <v>164</v>
      </c>
      <c r="C168" t="s">
        <v>42</v>
      </c>
      <c r="D168">
        <v>17</v>
      </c>
      <c r="E168" t="s">
        <v>81</v>
      </c>
      <c r="F168">
        <v>868</v>
      </c>
      <c r="G168" t="s">
        <v>68</v>
      </c>
      <c r="H168" t="s">
        <v>87</v>
      </c>
      <c r="I168">
        <v>0</v>
      </c>
      <c r="J168">
        <v>0</v>
      </c>
      <c r="K168">
        <v>1</v>
      </c>
      <c r="L168" t="s">
        <v>60</v>
      </c>
      <c r="M168" t="s">
        <v>47</v>
      </c>
      <c r="N168" t="s">
        <v>798</v>
      </c>
      <c r="O168">
        <v>0</v>
      </c>
      <c r="P168">
        <v>1</v>
      </c>
      <c r="Q168">
        <v>0</v>
      </c>
      <c r="S168">
        <v>1</v>
      </c>
      <c r="T168" t="s">
        <v>186</v>
      </c>
      <c r="U168">
        <v>9.6</v>
      </c>
      <c r="V168" t="s">
        <v>60</v>
      </c>
      <c r="W168">
        <v>2</v>
      </c>
      <c r="X168" t="s">
        <v>216</v>
      </c>
      <c r="Y168">
        <v>0</v>
      </c>
      <c r="Z168" t="s">
        <v>46</v>
      </c>
      <c r="AA168">
        <v>0</v>
      </c>
      <c r="AB168">
        <v>5</v>
      </c>
      <c r="AC168">
        <v>0</v>
      </c>
      <c r="AD168">
        <v>0</v>
      </c>
      <c r="AE168">
        <v>0</v>
      </c>
      <c r="AF168">
        <v>1</v>
      </c>
      <c r="AG168" t="s">
        <v>799</v>
      </c>
    </row>
    <row r="169" spans="1:33" x14ac:dyDescent="0.2">
      <c r="A169" t="s">
        <v>191</v>
      </c>
      <c r="B169" t="s">
        <v>41</v>
      </c>
      <c r="C169" t="s">
        <v>42</v>
      </c>
      <c r="D169">
        <v>18</v>
      </c>
      <c r="E169" t="s">
        <v>51</v>
      </c>
      <c r="F169">
        <v>3487</v>
      </c>
      <c r="G169" t="s">
        <v>64</v>
      </c>
      <c r="H169" t="s">
        <v>87</v>
      </c>
      <c r="I169">
        <v>1</v>
      </c>
      <c r="J169">
        <v>1</v>
      </c>
      <c r="K169">
        <v>0</v>
      </c>
      <c r="L169" t="s">
        <v>49</v>
      </c>
      <c r="M169" t="s">
        <v>392</v>
      </c>
      <c r="N169" t="s">
        <v>393</v>
      </c>
      <c r="O169">
        <v>0</v>
      </c>
      <c r="P169">
        <v>0</v>
      </c>
      <c r="Q169">
        <v>0</v>
      </c>
      <c r="S169">
        <v>1</v>
      </c>
      <c r="U169">
        <v>10.8</v>
      </c>
      <c r="V169" t="s">
        <v>60</v>
      </c>
      <c r="W169">
        <v>2</v>
      </c>
      <c r="X169">
        <v>1</v>
      </c>
      <c r="Y169">
        <v>1</v>
      </c>
      <c r="Z169" t="s">
        <v>181</v>
      </c>
      <c r="AA169">
        <v>0</v>
      </c>
      <c r="AB169">
        <v>3</v>
      </c>
      <c r="AC169">
        <v>0</v>
      </c>
      <c r="AD169">
        <v>1</v>
      </c>
      <c r="AE169">
        <v>0</v>
      </c>
      <c r="AF169">
        <v>0</v>
      </c>
      <c r="AG169" t="s">
        <v>394</v>
      </c>
    </row>
    <row r="170" spans="1:33" x14ac:dyDescent="0.2">
      <c r="A170" t="s">
        <v>97</v>
      </c>
      <c r="B170" t="s">
        <v>41</v>
      </c>
      <c r="C170" t="s">
        <v>42</v>
      </c>
      <c r="D170">
        <v>18</v>
      </c>
      <c r="E170" t="s">
        <v>85</v>
      </c>
      <c r="F170">
        <v>6956</v>
      </c>
      <c r="G170" t="s">
        <v>106</v>
      </c>
      <c r="H170" t="s">
        <v>47</v>
      </c>
      <c r="I170">
        <v>0</v>
      </c>
      <c r="J170">
        <v>0</v>
      </c>
      <c r="K170">
        <v>0</v>
      </c>
      <c r="L170" t="s">
        <v>46</v>
      </c>
      <c r="M170" t="s">
        <v>47</v>
      </c>
      <c r="N170" t="s">
        <v>257</v>
      </c>
      <c r="O170">
        <v>0</v>
      </c>
      <c r="P170">
        <v>0</v>
      </c>
      <c r="Q170">
        <v>0</v>
      </c>
      <c r="S170">
        <v>0</v>
      </c>
      <c r="T170">
        <v>1</v>
      </c>
      <c r="U170">
        <v>8.5</v>
      </c>
      <c r="V170" t="s">
        <v>60</v>
      </c>
      <c r="W170">
        <v>2</v>
      </c>
      <c r="X170">
        <v>1</v>
      </c>
      <c r="Y170">
        <v>0</v>
      </c>
      <c r="Z170" t="s">
        <v>49</v>
      </c>
      <c r="AA170">
        <v>0</v>
      </c>
      <c r="AB170">
        <v>3</v>
      </c>
      <c r="AC170">
        <v>0</v>
      </c>
      <c r="AD170">
        <v>0</v>
      </c>
      <c r="AE170">
        <v>1</v>
      </c>
      <c r="AF170">
        <v>0</v>
      </c>
      <c r="AG170" t="s">
        <v>383</v>
      </c>
    </row>
    <row r="171" spans="1:33" x14ac:dyDescent="0.2">
      <c r="A171" t="s">
        <v>211</v>
      </c>
      <c r="B171" t="s">
        <v>41</v>
      </c>
      <c r="C171" t="s">
        <v>42</v>
      </c>
      <c r="D171">
        <v>18</v>
      </c>
      <c r="E171" t="s">
        <v>85</v>
      </c>
      <c r="F171">
        <v>6956</v>
      </c>
      <c r="G171" t="s">
        <v>106</v>
      </c>
      <c r="H171" t="s">
        <v>47</v>
      </c>
      <c r="I171">
        <v>1</v>
      </c>
      <c r="J171">
        <v>0</v>
      </c>
      <c r="K171">
        <v>1</v>
      </c>
      <c r="L171" t="s">
        <v>46</v>
      </c>
      <c r="M171" t="s">
        <v>47</v>
      </c>
      <c r="N171" t="s">
        <v>417</v>
      </c>
      <c r="O171">
        <v>0</v>
      </c>
      <c r="P171">
        <v>0</v>
      </c>
      <c r="Q171">
        <v>0</v>
      </c>
      <c r="S171">
        <v>0</v>
      </c>
      <c r="T171">
        <v>1</v>
      </c>
      <c r="U171">
        <v>70.599999999999994</v>
      </c>
      <c r="V171" t="s">
        <v>60</v>
      </c>
      <c r="W171">
        <v>2</v>
      </c>
      <c r="X171">
        <v>1</v>
      </c>
      <c r="Y171">
        <v>0</v>
      </c>
      <c r="Z171" t="s">
        <v>46</v>
      </c>
      <c r="AA171">
        <v>1</v>
      </c>
      <c r="AB171">
        <v>4</v>
      </c>
      <c r="AC171">
        <v>0</v>
      </c>
      <c r="AD171">
        <v>0</v>
      </c>
      <c r="AE171">
        <v>1</v>
      </c>
      <c r="AF171">
        <v>1</v>
      </c>
      <c r="AG171" t="s">
        <v>418</v>
      </c>
    </row>
    <row r="172" spans="1:33" x14ac:dyDescent="0.2">
      <c r="A172" t="s">
        <v>167</v>
      </c>
      <c r="B172" t="s">
        <v>41</v>
      </c>
      <c r="C172" t="s">
        <v>42</v>
      </c>
      <c r="D172">
        <v>18</v>
      </c>
      <c r="E172" t="s">
        <v>63</v>
      </c>
      <c r="F172">
        <v>45</v>
      </c>
      <c r="G172" t="s">
        <v>44</v>
      </c>
      <c r="H172" t="s">
        <v>45</v>
      </c>
      <c r="I172">
        <v>1</v>
      </c>
      <c r="J172">
        <v>0</v>
      </c>
      <c r="K172">
        <v>0</v>
      </c>
      <c r="L172" t="s">
        <v>46</v>
      </c>
      <c r="M172" t="s">
        <v>406</v>
      </c>
      <c r="N172" t="s">
        <v>407</v>
      </c>
      <c r="O172">
        <v>0</v>
      </c>
      <c r="P172">
        <v>1</v>
      </c>
      <c r="Q172">
        <v>0</v>
      </c>
      <c r="S172">
        <v>0</v>
      </c>
      <c r="T172">
        <v>0</v>
      </c>
      <c r="U172">
        <v>21.5</v>
      </c>
      <c r="V172" t="s">
        <v>60</v>
      </c>
      <c r="W172">
        <v>2</v>
      </c>
      <c r="X172">
        <v>1</v>
      </c>
      <c r="Y172">
        <v>0</v>
      </c>
      <c r="Z172" t="s">
        <v>46</v>
      </c>
      <c r="AA172">
        <v>0</v>
      </c>
      <c r="AB172">
        <v>5</v>
      </c>
      <c r="AC172">
        <v>0</v>
      </c>
      <c r="AD172">
        <v>0</v>
      </c>
      <c r="AE172">
        <v>0</v>
      </c>
      <c r="AF172">
        <v>0</v>
      </c>
      <c r="AG172" t="s">
        <v>402</v>
      </c>
    </row>
    <row r="173" spans="1:33" x14ac:dyDescent="0.2">
      <c r="A173" t="s">
        <v>422</v>
      </c>
      <c r="B173" t="s">
        <v>41</v>
      </c>
      <c r="C173" t="s">
        <v>42</v>
      </c>
      <c r="D173">
        <v>18</v>
      </c>
      <c r="E173" t="s">
        <v>67</v>
      </c>
      <c r="F173">
        <v>9071</v>
      </c>
      <c r="G173" t="s">
        <v>217</v>
      </c>
      <c r="H173" t="s">
        <v>47</v>
      </c>
      <c r="I173">
        <v>0</v>
      </c>
      <c r="J173">
        <v>1</v>
      </c>
      <c r="K173">
        <v>0</v>
      </c>
      <c r="L173" t="s">
        <v>46</v>
      </c>
      <c r="M173" t="s">
        <v>47</v>
      </c>
      <c r="N173" t="s">
        <v>425</v>
      </c>
      <c r="O173">
        <v>0</v>
      </c>
      <c r="P173">
        <v>1</v>
      </c>
      <c r="Q173">
        <v>0</v>
      </c>
      <c r="S173">
        <v>0</v>
      </c>
      <c r="T173">
        <v>2</v>
      </c>
      <c r="U173">
        <v>0</v>
      </c>
      <c r="V173" t="s">
        <v>141</v>
      </c>
      <c r="W173">
        <v>2</v>
      </c>
      <c r="X173">
        <v>2</v>
      </c>
      <c r="Y173">
        <v>1</v>
      </c>
      <c r="Z173" t="s">
        <v>46</v>
      </c>
      <c r="AA173">
        <v>0</v>
      </c>
      <c r="AB173">
        <v>2</v>
      </c>
      <c r="AC173">
        <v>0</v>
      </c>
      <c r="AD173">
        <v>1</v>
      </c>
      <c r="AE173">
        <v>0</v>
      </c>
      <c r="AF173">
        <v>0</v>
      </c>
    </row>
    <row r="174" spans="1:33" x14ac:dyDescent="0.2">
      <c r="A174" t="s">
        <v>80</v>
      </c>
      <c r="B174" t="s">
        <v>164</v>
      </c>
      <c r="C174" t="s">
        <v>42</v>
      </c>
      <c r="D174">
        <v>18</v>
      </c>
      <c r="E174" t="s">
        <v>81</v>
      </c>
      <c r="F174">
        <v>3940</v>
      </c>
      <c r="G174" t="s">
        <v>68</v>
      </c>
      <c r="H174" t="s">
        <v>87</v>
      </c>
      <c r="I174">
        <v>0</v>
      </c>
      <c r="J174">
        <v>0</v>
      </c>
      <c r="K174">
        <v>1</v>
      </c>
      <c r="L174" t="s">
        <v>60</v>
      </c>
      <c r="M174" t="s">
        <v>796</v>
      </c>
      <c r="N174" t="s">
        <v>797</v>
      </c>
      <c r="O174">
        <v>0</v>
      </c>
      <c r="P174">
        <v>1</v>
      </c>
      <c r="Q174">
        <v>0</v>
      </c>
      <c r="S174">
        <v>0</v>
      </c>
      <c r="T174" t="s">
        <v>517</v>
      </c>
      <c r="U174">
        <v>6.7</v>
      </c>
      <c r="V174" t="s">
        <v>60</v>
      </c>
      <c r="W174">
        <v>2</v>
      </c>
      <c r="X174" t="s">
        <v>216</v>
      </c>
      <c r="Y174">
        <v>1</v>
      </c>
      <c r="Z174" t="s">
        <v>46</v>
      </c>
      <c r="AA174">
        <v>0</v>
      </c>
      <c r="AB174">
        <v>5</v>
      </c>
      <c r="AC174">
        <v>0</v>
      </c>
      <c r="AD174">
        <v>0</v>
      </c>
      <c r="AE174">
        <v>0</v>
      </c>
      <c r="AF174">
        <v>1</v>
      </c>
    </row>
    <row r="175" spans="1:33" x14ac:dyDescent="0.2">
      <c r="A175" t="s">
        <v>167</v>
      </c>
      <c r="B175" t="s">
        <v>41</v>
      </c>
      <c r="C175" t="s">
        <v>42</v>
      </c>
      <c r="D175">
        <v>19</v>
      </c>
      <c r="E175" t="s">
        <v>63</v>
      </c>
      <c r="F175">
        <v>1018</v>
      </c>
      <c r="G175" t="s">
        <v>56</v>
      </c>
      <c r="H175" t="s">
        <v>408</v>
      </c>
      <c r="I175">
        <v>0</v>
      </c>
      <c r="J175">
        <v>1</v>
      </c>
      <c r="K175">
        <v>0</v>
      </c>
      <c r="L175" t="s">
        <v>46</v>
      </c>
      <c r="M175" t="s">
        <v>409</v>
      </c>
      <c r="N175" t="s">
        <v>410</v>
      </c>
      <c r="O175">
        <v>0</v>
      </c>
      <c r="P175">
        <v>1</v>
      </c>
      <c r="Q175">
        <v>0</v>
      </c>
      <c r="S175">
        <v>0</v>
      </c>
      <c r="T175">
        <v>0</v>
      </c>
      <c r="U175">
        <v>12.3</v>
      </c>
      <c r="V175" t="s">
        <v>60</v>
      </c>
      <c r="W175">
        <v>2</v>
      </c>
      <c r="X175">
        <v>1</v>
      </c>
      <c r="Y175">
        <v>0</v>
      </c>
      <c r="Z175" t="s">
        <v>46</v>
      </c>
      <c r="AA175">
        <v>0</v>
      </c>
      <c r="AB175">
        <v>4</v>
      </c>
      <c r="AC175">
        <v>0</v>
      </c>
      <c r="AD175">
        <v>1</v>
      </c>
      <c r="AE175">
        <v>0</v>
      </c>
      <c r="AF175">
        <v>0</v>
      </c>
      <c r="AG175" t="s">
        <v>411</v>
      </c>
    </row>
    <row r="176" spans="1:33" x14ac:dyDescent="0.2">
      <c r="A176" t="s">
        <v>211</v>
      </c>
      <c r="B176" t="s">
        <v>41</v>
      </c>
      <c r="C176" t="s">
        <v>42</v>
      </c>
      <c r="D176">
        <v>19</v>
      </c>
      <c r="E176" t="s">
        <v>85</v>
      </c>
      <c r="F176">
        <v>4982</v>
      </c>
      <c r="G176" t="s">
        <v>106</v>
      </c>
      <c r="H176" t="s">
        <v>47</v>
      </c>
      <c r="I176">
        <v>0</v>
      </c>
      <c r="J176">
        <v>0</v>
      </c>
      <c r="K176">
        <v>0</v>
      </c>
      <c r="L176" t="s">
        <v>46</v>
      </c>
      <c r="M176" t="s">
        <v>47</v>
      </c>
      <c r="N176" t="s">
        <v>419</v>
      </c>
      <c r="O176">
        <v>0</v>
      </c>
      <c r="P176">
        <v>1</v>
      </c>
      <c r="Q176">
        <v>0</v>
      </c>
      <c r="S176">
        <v>0</v>
      </c>
      <c r="T176">
        <v>3</v>
      </c>
      <c r="U176">
        <v>0</v>
      </c>
      <c r="V176" t="s">
        <v>46</v>
      </c>
      <c r="W176">
        <v>2</v>
      </c>
      <c r="X176">
        <v>1</v>
      </c>
      <c r="Y176">
        <v>3</v>
      </c>
      <c r="Z176" t="s">
        <v>46</v>
      </c>
      <c r="AA176">
        <v>1</v>
      </c>
      <c r="AB176">
        <v>4</v>
      </c>
      <c r="AC176">
        <v>0</v>
      </c>
      <c r="AD176">
        <v>0</v>
      </c>
      <c r="AE176">
        <v>1</v>
      </c>
      <c r="AF176">
        <v>0</v>
      </c>
      <c r="AG176" t="s">
        <v>420</v>
      </c>
    </row>
    <row r="177" spans="1:33" x14ac:dyDescent="0.2">
      <c r="A177" t="s">
        <v>135</v>
      </c>
      <c r="B177" t="s">
        <v>41</v>
      </c>
      <c r="C177" t="s">
        <v>42</v>
      </c>
      <c r="D177">
        <v>19</v>
      </c>
      <c r="E177" t="s">
        <v>85</v>
      </c>
      <c r="F177">
        <v>4982</v>
      </c>
      <c r="G177" t="s">
        <v>106</v>
      </c>
      <c r="H177" t="s">
        <v>47</v>
      </c>
      <c r="I177">
        <v>0</v>
      </c>
      <c r="J177">
        <v>0</v>
      </c>
      <c r="K177">
        <v>0</v>
      </c>
      <c r="L177" t="s">
        <v>46</v>
      </c>
      <c r="M177" t="s">
        <v>47</v>
      </c>
      <c r="N177" t="s">
        <v>384</v>
      </c>
      <c r="O177">
        <v>0</v>
      </c>
      <c r="P177">
        <v>0</v>
      </c>
      <c r="Q177">
        <v>0</v>
      </c>
      <c r="S177">
        <v>0</v>
      </c>
      <c r="T177">
        <v>3</v>
      </c>
      <c r="U177">
        <v>0</v>
      </c>
      <c r="V177" t="s">
        <v>46</v>
      </c>
      <c r="W177">
        <v>2</v>
      </c>
      <c r="X177">
        <v>1</v>
      </c>
      <c r="Y177">
        <v>0</v>
      </c>
      <c r="Z177" t="s">
        <v>54</v>
      </c>
      <c r="AA177">
        <v>0</v>
      </c>
      <c r="AB177">
        <v>2</v>
      </c>
      <c r="AC177">
        <v>0</v>
      </c>
      <c r="AD177">
        <v>0</v>
      </c>
      <c r="AE177">
        <v>0</v>
      </c>
      <c r="AF177">
        <v>0</v>
      </c>
      <c r="AG177" t="s">
        <v>385</v>
      </c>
    </row>
    <row r="178" spans="1:33" x14ac:dyDescent="0.2">
      <c r="A178" t="s">
        <v>191</v>
      </c>
      <c r="B178" t="s">
        <v>41</v>
      </c>
      <c r="C178" t="s">
        <v>42</v>
      </c>
      <c r="D178">
        <v>19</v>
      </c>
      <c r="E178" t="s">
        <v>51</v>
      </c>
      <c r="F178">
        <v>5484</v>
      </c>
      <c r="G178" t="s">
        <v>78</v>
      </c>
      <c r="H178" t="s">
        <v>217</v>
      </c>
      <c r="I178">
        <v>1</v>
      </c>
      <c r="J178">
        <v>1</v>
      </c>
      <c r="K178">
        <v>1</v>
      </c>
      <c r="L178" t="s">
        <v>49</v>
      </c>
      <c r="M178" t="s">
        <v>395</v>
      </c>
      <c r="N178" t="s">
        <v>396</v>
      </c>
      <c r="O178">
        <v>0</v>
      </c>
      <c r="P178">
        <v>0</v>
      </c>
      <c r="Q178">
        <v>0</v>
      </c>
      <c r="S178">
        <v>0</v>
      </c>
      <c r="T178">
        <v>1</v>
      </c>
      <c r="U178">
        <v>15</v>
      </c>
      <c r="V178" t="s">
        <v>60</v>
      </c>
      <c r="W178">
        <v>2</v>
      </c>
      <c r="X178">
        <v>0</v>
      </c>
      <c r="Y178">
        <v>0</v>
      </c>
      <c r="Z178" t="s">
        <v>46</v>
      </c>
      <c r="AA178">
        <v>1</v>
      </c>
      <c r="AB178">
        <v>2</v>
      </c>
      <c r="AC178">
        <v>0</v>
      </c>
      <c r="AD178">
        <v>0</v>
      </c>
      <c r="AE178">
        <v>1</v>
      </c>
      <c r="AF178">
        <v>0</v>
      </c>
      <c r="AG178" t="s">
        <v>397</v>
      </c>
    </row>
    <row r="179" spans="1:33" x14ac:dyDescent="0.2">
      <c r="A179" t="s">
        <v>158</v>
      </c>
      <c r="B179" t="s">
        <v>41</v>
      </c>
      <c r="C179" t="s">
        <v>42</v>
      </c>
      <c r="D179">
        <v>19</v>
      </c>
      <c r="E179" t="s">
        <v>67</v>
      </c>
      <c r="F179">
        <v>328</v>
      </c>
      <c r="G179" t="s">
        <v>159</v>
      </c>
      <c r="H179" t="s">
        <v>47</v>
      </c>
      <c r="I179">
        <v>0</v>
      </c>
      <c r="J179">
        <v>0</v>
      </c>
      <c r="K179">
        <v>1</v>
      </c>
      <c r="L179" t="s">
        <v>60</v>
      </c>
      <c r="M179" t="s">
        <v>47</v>
      </c>
      <c r="N179" t="s">
        <v>426</v>
      </c>
      <c r="O179">
        <v>0</v>
      </c>
      <c r="P179">
        <v>0</v>
      </c>
      <c r="Q179">
        <v>0</v>
      </c>
      <c r="S179">
        <v>0</v>
      </c>
      <c r="T179">
        <v>2</v>
      </c>
      <c r="U179">
        <v>0</v>
      </c>
      <c r="V179" t="s">
        <v>60</v>
      </c>
      <c r="W179">
        <v>2</v>
      </c>
      <c r="X179">
        <v>1</v>
      </c>
      <c r="Y179">
        <v>3</v>
      </c>
      <c r="Z179" t="s">
        <v>46</v>
      </c>
      <c r="AA179">
        <v>1</v>
      </c>
      <c r="AB179">
        <v>3</v>
      </c>
      <c r="AC179">
        <v>0</v>
      </c>
      <c r="AD179">
        <v>0</v>
      </c>
      <c r="AE179">
        <v>0</v>
      </c>
      <c r="AF179">
        <v>0</v>
      </c>
    </row>
    <row r="180" spans="1:33" x14ac:dyDescent="0.2">
      <c r="A180" t="s">
        <v>80</v>
      </c>
      <c r="B180" t="s">
        <v>164</v>
      </c>
      <c r="C180" t="s">
        <v>42</v>
      </c>
      <c r="D180">
        <v>19</v>
      </c>
      <c r="E180" t="s">
        <v>81</v>
      </c>
      <c r="F180">
        <v>2909</v>
      </c>
      <c r="G180" t="s">
        <v>71</v>
      </c>
      <c r="H180" t="s">
        <v>47</v>
      </c>
      <c r="I180">
        <v>1</v>
      </c>
      <c r="J180">
        <v>1</v>
      </c>
      <c r="K180">
        <v>1</v>
      </c>
      <c r="L180" t="s">
        <v>46</v>
      </c>
      <c r="M180" t="s">
        <v>793</v>
      </c>
      <c r="N180" t="s">
        <v>794</v>
      </c>
      <c r="O180">
        <v>0</v>
      </c>
      <c r="P180">
        <v>0</v>
      </c>
      <c r="Q180">
        <v>0</v>
      </c>
      <c r="S180">
        <v>1</v>
      </c>
      <c r="T180" t="s">
        <v>54</v>
      </c>
      <c r="U180">
        <v>2.5</v>
      </c>
      <c r="V180" t="s">
        <v>60</v>
      </c>
      <c r="W180">
        <v>2</v>
      </c>
      <c r="X180" t="s">
        <v>49</v>
      </c>
      <c r="Y180">
        <v>0</v>
      </c>
      <c r="Z180" t="s">
        <v>46</v>
      </c>
      <c r="AA180">
        <v>0</v>
      </c>
      <c r="AB180">
        <v>4</v>
      </c>
      <c r="AC180">
        <v>0</v>
      </c>
      <c r="AD180">
        <v>0</v>
      </c>
      <c r="AE180">
        <v>0</v>
      </c>
      <c r="AF180">
        <v>0</v>
      </c>
      <c r="AG180" t="s">
        <v>795</v>
      </c>
    </row>
    <row r="181" spans="1:33" x14ac:dyDescent="0.2">
      <c r="A181" t="s">
        <v>290</v>
      </c>
      <c r="B181" t="s">
        <v>41</v>
      </c>
      <c r="C181" t="s">
        <v>42</v>
      </c>
      <c r="D181">
        <v>20</v>
      </c>
      <c r="E181" t="s">
        <v>85</v>
      </c>
      <c r="F181">
        <v>461</v>
      </c>
      <c r="G181" t="s">
        <v>92</v>
      </c>
      <c r="H181" t="s">
        <v>93</v>
      </c>
      <c r="I181">
        <v>1</v>
      </c>
      <c r="J181">
        <v>0</v>
      </c>
      <c r="K181">
        <v>1</v>
      </c>
      <c r="L181" t="s">
        <v>46</v>
      </c>
      <c r="M181" t="s">
        <v>47</v>
      </c>
      <c r="N181" t="s">
        <v>421</v>
      </c>
      <c r="O181">
        <v>0</v>
      </c>
      <c r="P181">
        <v>0</v>
      </c>
      <c r="Q181">
        <v>0</v>
      </c>
      <c r="S181">
        <v>1</v>
      </c>
      <c r="T181">
        <v>3</v>
      </c>
      <c r="U181">
        <v>0</v>
      </c>
      <c r="V181" t="s">
        <v>60</v>
      </c>
      <c r="W181">
        <v>2</v>
      </c>
      <c r="X181">
        <v>2</v>
      </c>
      <c r="Y181">
        <v>3</v>
      </c>
      <c r="Z181" t="s">
        <v>46</v>
      </c>
      <c r="AA181">
        <v>0</v>
      </c>
      <c r="AB181">
        <v>4</v>
      </c>
      <c r="AC181">
        <v>0</v>
      </c>
      <c r="AD181">
        <v>0</v>
      </c>
      <c r="AE181">
        <v>0</v>
      </c>
      <c r="AF181">
        <v>1</v>
      </c>
    </row>
    <row r="182" spans="1:33" x14ac:dyDescent="0.2">
      <c r="A182" t="s">
        <v>191</v>
      </c>
      <c r="B182" t="s">
        <v>41</v>
      </c>
      <c r="C182" t="s">
        <v>42</v>
      </c>
      <c r="D182">
        <v>20</v>
      </c>
      <c r="E182" t="s">
        <v>51</v>
      </c>
      <c r="F182">
        <v>71</v>
      </c>
      <c r="G182" t="s">
        <v>64</v>
      </c>
      <c r="H182" t="s">
        <v>150</v>
      </c>
      <c r="I182">
        <v>0</v>
      </c>
      <c r="J182">
        <v>1</v>
      </c>
      <c r="K182">
        <v>1</v>
      </c>
      <c r="L182" t="s">
        <v>60</v>
      </c>
      <c r="M182" t="s">
        <v>398</v>
      </c>
      <c r="N182" t="s">
        <v>399</v>
      </c>
      <c r="O182">
        <v>1</v>
      </c>
      <c r="P182">
        <v>0</v>
      </c>
      <c r="Q182">
        <v>0</v>
      </c>
      <c r="S182">
        <v>0</v>
      </c>
      <c r="T182">
        <v>2</v>
      </c>
      <c r="U182">
        <v>0</v>
      </c>
      <c r="V182" t="s">
        <v>60</v>
      </c>
      <c r="W182">
        <v>1</v>
      </c>
      <c r="X182">
        <v>1</v>
      </c>
      <c r="Y182">
        <v>2</v>
      </c>
      <c r="Z182" t="s">
        <v>46</v>
      </c>
      <c r="AA182">
        <v>0</v>
      </c>
      <c r="AB182">
        <v>2</v>
      </c>
      <c r="AC182">
        <v>0</v>
      </c>
      <c r="AD182">
        <v>1</v>
      </c>
      <c r="AE182">
        <v>1</v>
      </c>
      <c r="AF182">
        <v>0</v>
      </c>
    </row>
    <row r="183" spans="1:33" x14ac:dyDescent="0.2">
      <c r="A183" t="s">
        <v>135</v>
      </c>
      <c r="B183" t="s">
        <v>41</v>
      </c>
      <c r="C183" t="s">
        <v>42</v>
      </c>
      <c r="D183">
        <v>20</v>
      </c>
      <c r="E183" t="s">
        <v>85</v>
      </c>
      <c r="F183">
        <v>461</v>
      </c>
      <c r="G183" t="s">
        <v>106</v>
      </c>
      <c r="H183" t="s">
        <v>47</v>
      </c>
      <c r="I183">
        <v>0</v>
      </c>
      <c r="J183">
        <v>0</v>
      </c>
      <c r="K183">
        <v>0</v>
      </c>
      <c r="L183" t="s">
        <v>46</v>
      </c>
      <c r="M183" t="s">
        <v>47</v>
      </c>
      <c r="N183" t="s">
        <v>386</v>
      </c>
      <c r="O183">
        <v>0</v>
      </c>
      <c r="P183">
        <v>1</v>
      </c>
      <c r="Q183">
        <v>1</v>
      </c>
      <c r="R183">
        <v>4926</v>
      </c>
      <c r="S183">
        <v>1</v>
      </c>
      <c r="T183">
        <v>3</v>
      </c>
      <c r="U183">
        <v>2.2000000000000002</v>
      </c>
      <c r="V183" t="s">
        <v>46</v>
      </c>
      <c r="W183">
        <v>0</v>
      </c>
      <c r="X183">
        <v>2</v>
      </c>
      <c r="Y183">
        <v>0</v>
      </c>
      <c r="Z183" t="s">
        <v>60</v>
      </c>
      <c r="AA183">
        <v>0</v>
      </c>
      <c r="AB183">
        <v>5</v>
      </c>
      <c r="AC183">
        <v>0</v>
      </c>
      <c r="AD183">
        <v>0</v>
      </c>
      <c r="AE183">
        <v>0</v>
      </c>
      <c r="AF183">
        <v>1</v>
      </c>
      <c r="AG183" t="s">
        <v>387</v>
      </c>
    </row>
    <row r="184" spans="1:33" x14ac:dyDescent="0.2">
      <c r="A184" t="s">
        <v>412</v>
      </c>
      <c r="B184" t="s">
        <v>41</v>
      </c>
      <c r="C184" t="s">
        <v>42</v>
      </c>
      <c r="D184">
        <v>20</v>
      </c>
      <c r="E184" t="s">
        <v>63</v>
      </c>
      <c r="F184">
        <v>4926</v>
      </c>
      <c r="G184" t="s">
        <v>413</v>
      </c>
      <c r="H184" t="s">
        <v>47</v>
      </c>
      <c r="I184">
        <v>1</v>
      </c>
      <c r="J184">
        <v>0</v>
      </c>
      <c r="K184">
        <v>1</v>
      </c>
      <c r="L184" t="s">
        <v>46</v>
      </c>
      <c r="M184" t="s">
        <v>47</v>
      </c>
      <c r="N184" t="s">
        <v>414</v>
      </c>
      <c r="O184">
        <v>0</v>
      </c>
      <c r="P184">
        <v>0</v>
      </c>
      <c r="Q184">
        <v>0</v>
      </c>
      <c r="S184">
        <v>1</v>
      </c>
      <c r="T184">
        <v>2</v>
      </c>
      <c r="U184">
        <v>0</v>
      </c>
      <c r="V184" t="s">
        <v>46</v>
      </c>
      <c r="W184">
        <v>0</v>
      </c>
      <c r="X184">
        <v>0</v>
      </c>
      <c r="Y184">
        <v>2</v>
      </c>
      <c r="Z184" t="s">
        <v>46</v>
      </c>
      <c r="AA184">
        <v>0</v>
      </c>
      <c r="AB184">
        <v>3</v>
      </c>
      <c r="AC184">
        <v>0</v>
      </c>
      <c r="AD184">
        <v>0</v>
      </c>
      <c r="AE184">
        <v>0</v>
      </c>
      <c r="AF184">
        <v>0</v>
      </c>
    </row>
    <row r="185" spans="1:33" x14ac:dyDescent="0.2">
      <c r="A185" t="s">
        <v>158</v>
      </c>
      <c r="B185" t="s">
        <v>41</v>
      </c>
      <c r="C185" t="s">
        <v>42</v>
      </c>
      <c r="D185">
        <v>20</v>
      </c>
      <c r="E185" t="s">
        <v>67</v>
      </c>
      <c r="F185">
        <v>910</v>
      </c>
      <c r="G185" t="s">
        <v>159</v>
      </c>
      <c r="H185" t="s">
        <v>427</v>
      </c>
      <c r="I185">
        <v>0</v>
      </c>
      <c r="J185">
        <v>1</v>
      </c>
      <c r="K185">
        <v>1</v>
      </c>
      <c r="L185" t="s">
        <v>46</v>
      </c>
      <c r="M185" t="s">
        <v>47</v>
      </c>
      <c r="N185" t="s">
        <v>73</v>
      </c>
      <c r="O185">
        <v>0</v>
      </c>
      <c r="P185">
        <v>1</v>
      </c>
      <c r="Q185">
        <v>0</v>
      </c>
      <c r="S185">
        <v>0</v>
      </c>
      <c r="T185">
        <v>0</v>
      </c>
      <c r="U185">
        <v>0</v>
      </c>
      <c r="V185" t="s">
        <v>60</v>
      </c>
      <c r="W185">
        <v>2</v>
      </c>
      <c r="X185">
        <v>1</v>
      </c>
      <c r="Y185">
        <v>0</v>
      </c>
      <c r="Z185" t="s">
        <v>46</v>
      </c>
      <c r="AA185">
        <v>0</v>
      </c>
      <c r="AB185">
        <v>3</v>
      </c>
      <c r="AC185">
        <v>0</v>
      </c>
      <c r="AD185">
        <v>0</v>
      </c>
      <c r="AE185">
        <v>0</v>
      </c>
      <c r="AF185">
        <v>0</v>
      </c>
    </row>
    <row r="186" spans="1:33" x14ac:dyDescent="0.2">
      <c r="A186" t="s">
        <v>80</v>
      </c>
      <c r="B186" t="s">
        <v>164</v>
      </c>
      <c r="C186" t="s">
        <v>42</v>
      </c>
      <c r="D186">
        <v>20</v>
      </c>
      <c r="E186" t="s">
        <v>81</v>
      </c>
      <c r="F186">
        <v>3865</v>
      </c>
      <c r="G186" t="s">
        <v>71</v>
      </c>
      <c r="H186" t="s">
        <v>47</v>
      </c>
      <c r="I186">
        <v>1</v>
      </c>
      <c r="J186">
        <v>1</v>
      </c>
      <c r="K186">
        <v>1</v>
      </c>
      <c r="L186" t="s">
        <v>46</v>
      </c>
      <c r="M186" t="s">
        <v>47</v>
      </c>
      <c r="N186" t="s">
        <v>172</v>
      </c>
      <c r="O186">
        <v>0</v>
      </c>
      <c r="P186">
        <v>0</v>
      </c>
      <c r="Q186">
        <v>0</v>
      </c>
      <c r="S186">
        <v>0</v>
      </c>
      <c r="T186" t="s">
        <v>517</v>
      </c>
      <c r="U186">
        <v>0</v>
      </c>
      <c r="V186" t="s">
        <v>46</v>
      </c>
      <c r="W186">
        <v>2</v>
      </c>
      <c r="X186" t="s">
        <v>46</v>
      </c>
      <c r="Y186">
        <v>0</v>
      </c>
      <c r="Z186" t="s">
        <v>46</v>
      </c>
      <c r="AA186">
        <v>0</v>
      </c>
      <c r="AB186">
        <v>3</v>
      </c>
      <c r="AC186">
        <v>0</v>
      </c>
      <c r="AD186">
        <v>0</v>
      </c>
      <c r="AE186">
        <v>0</v>
      </c>
      <c r="AF186">
        <v>0</v>
      </c>
      <c r="AG186" t="s">
        <v>792</v>
      </c>
    </row>
    <row r="187" spans="1:33" x14ac:dyDescent="0.2">
      <c r="A187" t="s">
        <v>290</v>
      </c>
      <c r="B187" t="s">
        <v>41</v>
      </c>
      <c r="C187" t="s">
        <v>42</v>
      </c>
      <c r="D187">
        <v>21</v>
      </c>
      <c r="E187" t="s">
        <v>85</v>
      </c>
      <c r="F187">
        <v>9119</v>
      </c>
      <c r="G187" t="s">
        <v>68</v>
      </c>
      <c r="H187" t="s">
        <v>47</v>
      </c>
      <c r="I187">
        <v>0</v>
      </c>
      <c r="J187">
        <v>0</v>
      </c>
      <c r="K187">
        <v>0</v>
      </c>
      <c r="L187" t="s">
        <v>46</v>
      </c>
      <c r="M187" t="s">
        <v>47</v>
      </c>
      <c r="N187" t="s">
        <v>47</v>
      </c>
      <c r="O187">
        <v>0</v>
      </c>
      <c r="P187">
        <v>0</v>
      </c>
      <c r="Q187">
        <v>0</v>
      </c>
      <c r="S187">
        <v>0</v>
      </c>
      <c r="U187">
        <v>0</v>
      </c>
      <c r="V187" t="s">
        <v>46</v>
      </c>
      <c r="W187">
        <v>1</v>
      </c>
      <c r="X187">
        <v>-1</v>
      </c>
      <c r="Y187">
        <v>0</v>
      </c>
      <c r="Z187" t="s">
        <v>46</v>
      </c>
      <c r="AA187">
        <v>0</v>
      </c>
      <c r="AB187">
        <v>1</v>
      </c>
      <c r="AC187">
        <v>1</v>
      </c>
      <c r="AD187">
        <v>0</v>
      </c>
      <c r="AE187">
        <v>0</v>
      </c>
      <c r="AF187">
        <v>0</v>
      </c>
    </row>
    <row r="188" spans="1:33" x14ac:dyDescent="0.2">
      <c r="A188" t="s">
        <v>97</v>
      </c>
      <c r="B188" t="s">
        <v>41</v>
      </c>
      <c r="C188" t="s">
        <v>42</v>
      </c>
      <c r="D188">
        <v>21</v>
      </c>
      <c r="E188" t="s">
        <v>85</v>
      </c>
      <c r="F188">
        <v>9119</v>
      </c>
      <c r="G188" t="s">
        <v>68</v>
      </c>
      <c r="H188" t="s">
        <v>47</v>
      </c>
      <c r="I188">
        <v>0</v>
      </c>
      <c r="J188">
        <v>0</v>
      </c>
      <c r="K188">
        <v>0</v>
      </c>
      <c r="L188" t="s">
        <v>46</v>
      </c>
      <c r="M188" t="s">
        <v>47</v>
      </c>
      <c r="N188" t="s">
        <v>47</v>
      </c>
      <c r="O188">
        <v>0</v>
      </c>
      <c r="P188">
        <v>0</v>
      </c>
      <c r="Q188">
        <v>0</v>
      </c>
      <c r="S188">
        <v>0</v>
      </c>
      <c r="U188">
        <v>0</v>
      </c>
      <c r="V188" t="s">
        <v>46</v>
      </c>
      <c r="W188">
        <v>0</v>
      </c>
      <c r="Y188">
        <v>0</v>
      </c>
      <c r="Z188" t="s">
        <v>46</v>
      </c>
      <c r="AA188">
        <v>0</v>
      </c>
      <c r="AB188">
        <v>3</v>
      </c>
      <c r="AC188">
        <v>1</v>
      </c>
      <c r="AD188">
        <v>0</v>
      </c>
      <c r="AE188">
        <v>0</v>
      </c>
      <c r="AF188">
        <v>0</v>
      </c>
    </row>
    <row r="189" spans="1:33" x14ac:dyDescent="0.2">
      <c r="A189" t="s">
        <v>428</v>
      </c>
      <c r="B189" t="s">
        <v>41</v>
      </c>
      <c r="C189" t="s">
        <v>42</v>
      </c>
      <c r="D189">
        <v>21</v>
      </c>
      <c r="E189" t="s">
        <v>67</v>
      </c>
      <c r="F189">
        <v>135</v>
      </c>
      <c r="G189" t="s">
        <v>106</v>
      </c>
      <c r="H189" t="s">
        <v>48</v>
      </c>
      <c r="I189">
        <v>1</v>
      </c>
      <c r="J189">
        <v>0</v>
      </c>
      <c r="K189">
        <v>1</v>
      </c>
      <c r="L189" t="s">
        <v>46</v>
      </c>
      <c r="M189" t="s">
        <v>429</v>
      </c>
      <c r="N189" t="s">
        <v>430</v>
      </c>
      <c r="O189">
        <v>0</v>
      </c>
      <c r="P189">
        <v>0</v>
      </c>
      <c r="Q189">
        <v>0</v>
      </c>
      <c r="S189">
        <v>1</v>
      </c>
      <c r="T189">
        <v>2</v>
      </c>
      <c r="U189">
        <v>0</v>
      </c>
      <c r="V189" t="s">
        <v>49</v>
      </c>
      <c r="W189">
        <v>2</v>
      </c>
      <c r="X189">
        <v>1</v>
      </c>
      <c r="Y189">
        <v>0</v>
      </c>
      <c r="Z189" t="s">
        <v>46</v>
      </c>
      <c r="AA189">
        <v>0</v>
      </c>
      <c r="AB189">
        <v>4</v>
      </c>
      <c r="AC189">
        <v>0</v>
      </c>
      <c r="AD189">
        <v>0</v>
      </c>
      <c r="AE189">
        <v>0</v>
      </c>
      <c r="AF189">
        <v>0</v>
      </c>
    </row>
    <row r="190" spans="1:33" x14ac:dyDescent="0.2">
      <c r="A190" t="s">
        <v>290</v>
      </c>
      <c r="B190" t="s">
        <v>41</v>
      </c>
      <c r="C190" t="s">
        <v>42</v>
      </c>
      <c r="D190">
        <v>22</v>
      </c>
      <c r="E190" t="s">
        <v>85</v>
      </c>
      <c r="F190">
        <v>862</v>
      </c>
      <c r="G190" t="s">
        <v>92</v>
      </c>
      <c r="H190" t="s">
        <v>437</v>
      </c>
      <c r="I190">
        <v>0</v>
      </c>
      <c r="J190">
        <v>0</v>
      </c>
      <c r="K190">
        <v>0</v>
      </c>
      <c r="L190" t="s">
        <v>46</v>
      </c>
      <c r="M190" t="s">
        <v>47</v>
      </c>
      <c r="N190" t="s">
        <v>438</v>
      </c>
      <c r="O190">
        <v>0</v>
      </c>
      <c r="P190">
        <v>0</v>
      </c>
      <c r="Q190">
        <v>0</v>
      </c>
      <c r="S190">
        <v>0</v>
      </c>
      <c r="U190">
        <v>0</v>
      </c>
      <c r="V190" t="s">
        <v>60</v>
      </c>
      <c r="W190">
        <v>2</v>
      </c>
      <c r="X190">
        <v>1</v>
      </c>
      <c r="Y190">
        <v>2</v>
      </c>
      <c r="Z190" t="s">
        <v>46</v>
      </c>
      <c r="AA190">
        <v>0</v>
      </c>
      <c r="AB190">
        <v>3</v>
      </c>
      <c r="AC190">
        <v>0</v>
      </c>
      <c r="AD190">
        <v>0</v>
      </c>
      <c r="AE190">
        <v>1</v>
      </c>
      <c r="AF190">
        <v>1</v>
      </c>
    </row>
    <row r="191" spans="1:33" x14ac:dyDescent="0.2">
      <c r="A191" t="s">
        <v>412</v>
      </c>
      <c r="B191" t="s">
        <v>41</v>
      </c>
      <c r="C191" t="s">
        <v>42</v>
      </c>
      <c r="D191">
        <v>21</v>
      </c>
      <c r="E191" t="s">
        <v>63</v>
      </c>
      <c r="F191">
        <v>8103</v>
      </c>
      <c r="G191" t="s">
        <v>267</v>
      </c>
      <c r="H191" t="s">
        <v>47</v>
      </c>
      <c r="I191">
        <v>0</v>
      </c>
      <c r="J191">
        <v>0</v>
      </c>
      <c r="K191">
        <v>0</v>
      </c>
      <c r="L191" t="s">
        <v>46</v>
      </c>
      <c r="M191" t="s">
        <v>47</v>
      </c>
      <c r="N191" t="s">
        <v>174</v>
      </c>
      <c r="O191">
        <v>0</v>
      </c>
      <c r="P191">
        <v>0</v>
      </c>
      <c r="Q191">
        <v>0</v>
      </c>
      <c r="S191">
        <v>0</v>
      </c>
      <c r="T191">
        <v>0</v>
      </c>
      <c r="U191">
        <v>0</v>
      </c>
      <c r="V191" t="s">
        <v>49</v>
      </c>
      <c r="W191">
        <v>1</v>
      </c>
      <c r="X191">
        <v>0</v>
      </c>
      <c r="Y191">
        <v>0</v>
      </c>
      <c r="Z191" t="s">
        <v>54</v>
      </c>
      <c r="AA191">
        <v>0</v>
      </c>
      <c r="AB191">
        <v>1</v>
      </c>
      <c r="AC191">
        <v>0</v>
      </c>
      <c r="AD191">
        <v>0</v>
      </c>
      <c r="AE191">
        <v>0</v>
      </c>
      <c r="AF191">
        <v>0</v>
      </c>
      <c r="AG191" t="s">
        <v>431</v>
      </c>
    </row>
    <row r="192" spans="1:33" x14ac:dyDescent="0.2">
      <c r="A192" t="s">
        <v>229</v>
      </c>
      <c r="B192" t="s">
        <v>41</v>
      </c>
      <c r="C192" t="s">
        <v>42</v>
      </c>
      <c r="D192">
        <v>21</v>
      </c>
      <c r="E192" t="s">
        <v>51</v>
      </c>
      <c r="F192">
        <v>8103</v>
      </c>
      <c r="G192" t="s">
        <v>267</v>
      </c>
      <c r="H192" t="s">
        <v>47</v>
      </c>
      <c r="I192">
        <v>0</v>
      </c>
      <c r="J192">
        <v>0</v>
      </c>
      <c r="K192">
        <v>0</v>
      </c>
      <c r="L192" t="s">
        <v>46</v>
      </c>
      <c r="M192" t="s">
        <v>432</v>
      </c>
      <c r="N192" t="s">
        <v>174</v>
      </c>
      <c r="O192">
        <v>0</v>
      </c>
      <c r="P192">
        <v>0</v>
      </c>
      <c r="Q192">
        <v>0</v>
      </c>
      <c r="S192">
        <v>0</v>
      </c>
      <c r="T192">
        <v>1</v>
      </c>
      <c r="U192">
        <v>0</v>
      </c>
      <c r="V192" t="s">
        <v>141</v>
      </c>
      <c r="W192">
        <v>0</v>
      </c>
      <c r="X192">
        <v>0</v>
      </c>
      <c r="Y192">
        <v>0</v>
      </c>
      <c r="Z192" t="s">
        <v>46</v>
      </c>
      <c r="AA192">
        <v>0</v>
      </c>
      <c r="AB192">
        <v>2</v>
      </c>
      <c r="AC192">
        <v>0</v>
      </c>
      <c r="AD192">
        <v>0</v>
      </c>
      <c r="AE192">
        <v>0</v>
      </c>
      <c r="AF192">
        <v>0</v>
      </c>
      <c r="AG192" t="s">
        <v>433</v>
      </c>
    </row>
    <row r="193" spans="1:33" x14ac:dyDescent="0.2">
      <c r="A193" t="s">
        <v>434</v>
      </c>
      <c r="B193" t="s">
        <v>41</v>
      </c>
      <c r="C193" t="s">
        <v>42</v>
      </c>
      <c r="D193">
        <v>22</v>
      </c>
      <c r="E193" t="s">
        <v>43</v>
      </c>
      <c r="F193">
        <v>3147</v>
      </c>
      <c r="G193" t="s">
        <v>78</v>
      </c>
      <c r="H193" t="s">
        <v>47</v>
      </c>
      <c r="I193">
        <v>1</v>
      </c>
      <c r="J193">
        <v>1</v>
      </c>
      <c r="K193">
        <v>1</v>
      </c>
      <c r="L193" t="s">
        <v>49</v>
      </c>
      <c r="M193" t="s">
        <v>435</v>
      </c>
      <c r="N193" t="s">
        <v>367</v>
      </c>
      <c r="O193">
        <v>0</v>
      </c>
      <c r="P193">
        <v>1</v>
      </c>
      <c r="Q193">
        <v>0</v>
      </c>
      <c r="S193">
        <v>0</v>
      </c>
      <c r="T193">
        <v>1</v>
      </c>
      <c r="U193">
        <v>0</v>
      </c>
      <c r="V193" t="s">
        <v>60</v>
      </c>
      <c r="W193">
        <v>2</v>
      </c>
      <c r="X193">
        <v>0</v>
      </c>
      <c r="Y193">
        <v>0</v>
      </c>
      <c r="Z193" t="s">
        <v>46</v>
      </c>
      <c r="AA193">
        <v>0</v>
      </c>
      <c r="AB193">
        <v>3</v>
      </c>
      <c r="AC193">
        <v>0</v>
      </c>
      <c r="AD193">
        <v>0</v>
      </c>
      <c r="AE193">
        <v>0</v>
      </c>
      <c r="AF193">
        <v>0</v>
      </c>
    </row>
    <row r="194" spans="1:33" x14ac:dyDescent="0.2">
      <c r="A194" t="s">
        <v>436</v>
      </c>
      <c r="B194" t="s">
        <v>41</v>
      </c>
      <c r="C194" t="s">
        <v>42</v>
      </c>
      <c r="D194">
        <v>22</v>
      </c>
      <c r="E194" t="s">
        <v>67</v>
      </c>
      <c r="F194">
        <v>2197</v>
      </c>
      <c r="G194" t="s">
        <v>68</v>
      </c>
      <c r="H194" t="s">
        <v>170</v>
      </c>
      <c r="I194">
        <v>0</v>
      </c>
      <c r="J194">
        <v>1</v>
      </c>
      <c r="K194">
        <v>0</v>
      </c>
      <c r="L194" t="s">
        <v>53</v>
      </c>
      <c r="M194" t="s">
        <v>47</v>
      </c>
      <c r="N194" t="s">
        <v>47</v>
      </c>
      <c r="O194">
        <v>2</v>
      </c>
      <c r="P194">
        <v>0</v>
      </c>
      <c r="Q194">
        <v>0</v>
      </c>
      <c r="S194">
        <v>0</v>
      </c>
      <c r="T194">
        <v>0</v>
      </c>
      <c r="U194">
        <v>0</v>
      </c>
      <c r="V194" t="s">
        <v>60</v>
      </c>
      <c r="W194">
        <v>2</v>
      </c>
      <c r="X194">
        <v>2</v>
      </c>
      <c r="Y194">
        <v>0</v>
      </c>
      <c r="Z194" t="s">
        <v>46</v>
      </c>
      <c r="AA194">
        <v>1</v>
      </c>
      <c r="AB194">
        <v>5</v>
      </c>
      <c r="AC194">
        <v>0</v>
      </c>
      <c r="AD194">
        <v>0</v>
      </c>
      <c r="AE194">
        <v>0</v>
      </c>
      <c r="AF194">
        <v>0</v>
      </c>
    </row>
    <row r="195" spans="1:33" x14ac:dyDescent="0.2">
      <c r="A195" t="s">
        <v>135</v>
      </c>
      <c r="B195" t="s">
        <v>41</v>
      </c>
      <c r="C195" t="s">
        <v>42</v>
      </c>
      <c r="D195">
        <v>22</v>
      </c>
      <c r="E195" t="s">
        <v>85</v>
      </c>
      <c r="F195">
        <v>862</v>
      </c>
      <c r="G195" t="s">
        <v>200</v>
      </c>
      <c r="H195" t="s">
        <v>47</v>
      </c>
      <c r="I195">
        <v>0</v>
      </c>
      <c r="J195">
        <v>0</v>
      </c>
      <c r="K195">
        <v>0</v>
      </c>
      <c r="L195" t="s">
        <v>46</v>
      </c>
      <c r="M195" t="s">
        <v>439</v>
      </c>
      <c r="N195" t="s">
        <v>440</v>
      </c>
      <c r="O195">
        <v>0</v>
      </c>
      <c r="P195">
        <v>0</v>
      </c>
      <c r="Q195">
        <v>0</v>
      </c>
      <c r="S195">
        <v>0</v>
      </c>
      <c r="U195">
        <v>5.6</v>
      </c>
      <c r="V195" t="s">
        <v>60</v>
      </c>
      <c r="W195">
        <v>2</v>
      </c>
      <c r="X195">
        <v>1</v>
      </c>
      <c r="Y195">
        <v>0</v>
      </c>
      <c r="Z195" t="s">
        <v>181</v>
      </c>
      <c r="AA195">
        <v>0</v>
      </c>
      <c r="AB195">
        <v>3</v>
      </c>
      <c r="AC195">
        <v>0</v>
      </c>
      <c r="AD195">
        <v>0</v>
      </c>
      <c r="AE195">
        <v>0</v>
      </c>
      <c r="AF195">
        <v>0</v>
      </c>
      <c r="AG195" t="s">
        <v>441</v>
      </c>
    </row>
    <row r="196" spans="1:33" x14ac:dyDescent="0.2">
      <c r="A196" t="s">
        <v>229</v>
      </c>
      <c r="B196" t="s">
        <v>41</v>
      </c>
      <c r="C196" t="s">
        <v>42</v>
      </c>
      <c r="D196">
        <v>22</v>
      </c>
      <c r="E196" t="s">
        <v>51</v>
      </c>
      <c r="F196">
        <v>1747</v>
      </c>
      <c r="G196" t="s">
        <v>44</v>
      </c>
      <c r="H196" t="s">
        <v>47</v>
      </c>
      <c r="I196">
        <v>0</v>
      </c>
      <c r="J196">
        <v>0</v>
      </c>
      <c r="K196">
        <v>0</v>
      </c>
      <c r="L196" t="s">
        <v>46</v>
      </c>
      <c r="M196" t="s">
        <v>47</v>
      </c>
      <c r="N196" t="s">
        <v>45</v>
      </c>
      <c r="O196">
        <v>0</v>
      </c>
      <c r="P196">
        <v>0</v>
      </c>
      <c r="Q196">
        <v>0</v>
      </c>
      <c r="S196">
        <v>0</v>
      </c>
      <c r="T196">
        <v>3</v>
      </c>
      <c r="U196">
        <v>0</v>
      </c>
      <c r="V196" t="s">
        <v>141</v>
      </c>
      <c r="W196">
        <v>2</v>
      </c>
      <c r="X196">
        <v>0</v>
      </c>
      <c r="Y196">
        <v>0</v>
      </c>
      <c r="Z196" t="s">
        <v>46</v>
      </c>
      <c r="AA196">
        <v>0</v>
      </c>
      <c r="AB196">
        <v>2</v>
      </c>
      <c r="AC196">
        <v>1</v>
      </c>
      <c r="AD196">
        <v>0</v>
      </c>
      <c r="AE196">
        <v>0</v>
      </c>
      <c r="AF196">
        <v>0</v>
      </c>
      <c r="AG196" t="s">
        <v>442</v>
      </c>
    </row>
    <row r="197" spans="1:33" x14ac:dyDescent="0.2">
      <c r="A197" t="s">
        <v>412</v>
      </c>
      <c r="B197" t="s">
        <v>41</v>
      </c>
      <c r="C197" t="s">
        <v>42</v>
      </c>
      <c r="D197">
        <v>22</v>
      </c>
      <c r="E197" t="s">
        <v>63</v>
      </c>
      <c r="F197">
        <v>1747</v>
      </c>
      <c r="G197" t="s">
        <v>44</v>
      </c>
      <c r="H197" t="s">
        <v>47</v>
      </c>
      <c r="I197">
        <v>0</v>
      </c>
      <c r="J197">
        <v>0</v>
      </c>
      <c r="K197">
        <v>0</v>
      </c>
      <c r="L197" t="s">
        <v>46</v>
      </c>
      <c r="M197" t="s">
        <v>47</v>
      </c>
      <c r="N197" t="s">
        <v>45</v>
      </c>
      <c r="O197">
        <v>0</v>
      </c>
      <c r="P197">
        <v>0</v>
      </c>
      <c r="Q197">
        <v>0</v>
      </c>
      <c r="S197">
        <v>0</v>
      </c>
      <c r="T197">
        <v>0</v>
      </c>
      <c r="U197">
        <v>0</v>
      </c>
      <c r="V197" t="s">
        <v>46</v>
      </c>
      <c r="W197">
        <v>2</v>
      </c>
      <c r="X197">
        <v>0</v>
      </c>
      <c r="Y197">
        <v>1</v>
      </c>
      <c r="Z197" t="s">
        <v>46</v>
      </c>
      <c r="AA197">
        <v>0</v>
      </c>
      <c r="AB197">
        <v>1</v>
      </c>
      <c r="AC197">
        <v>1</v>
      </c>
      <c r="AD197">
        <v>0</v>
      </c>
      <c r="AE197">
        <v>0</v>
      </c>
      <c r="AF197">
        <v>0</v>
      </c>
    </row>
    <row r="198" spans="1:33" x14ac:dyDescent="0.2">
      <c r="A198" t="s">
        <v>272</v>
      </c>
      <c r="B198" t="s">
        <v>164</v>
      </c>
      <c r="C198" t="s">
        <v>42</v>
      </c>
      <c r="D198">
        <v>23</v>
      </c>
      <c r="E198" t="s">
        <v>81</v>
      </c>
      <c r="F198">
        <v>1018</v>
      </c>
      <c r="G198" t="s">
        <v>72</v>
      </c>
      <c r="H198" t="s">
        <v>150</v>
      </c>
      <c r="I198">
        <v>0</v>
      </c>
      <c r="J198">
        <v>1</v>
      </c>
      <c r="K198">
        <v>1</v>
      </c>
      <c r="L198" t="s">
        <v>60</v>
      </c>
      <c r="M198" t="s">
        <v>454</v>
      </c>
      <c r="N198" t="s">
        <v>455</v>
      </c>
      <c r="O198">
        <v>0</v>
      </c>
      <c r="P198">
        <v>1</v>
      </c>
      <c r="Q198">
        <v>0</v>
      </c>
      <c r="S198">
        <v>0</v>
      </c>
      <c r="T198" t="s">
        <v>46</v>
      </c>
      <c r="U198">
        <v>4</v>
      </c>
      <c r="V198" t="s">
        <v>141</v>
      </c>
      <c r="W198">
        <v>2</v>
      </c>
      <c r="X198" t="s">
        <v>216</v>
      </c>
      <c r="Y198">
        <v>0</v>
      </c>
      <c r="Z198" t="s">
        <v>49</v>
      </c>
      <c r="AA198">
        <v>1</v>
      </c>
      <c r="AB198">
        <v>4</v>
      </c>
      <c r="AC198">
        <v>0</v>
      </c>
      <c r="AD198">
        <v>1</v>
      </c>
      <c r="AE198">
        <v>0</v>
      </c>
      <c r="AF198">
        <v>1</v>
      </c>
      <c r="AG198" t="s">
        <v>456</v>
      </c>
    </row>
    <row r="199" spans="1:33" x14ac:dyDescent="0.2">
      <c r="A199" t="s">
        <v>135</v>
      </c>
      <c r="B199" t="s">
        <v>41</v>
      </c>
      <c r="C199" t="s">
        <v>42</v>
      </c>
      <c r="D199">
        <v>23</v>
      </c>
      <c r="E199" t="s">
        <v>85</v>
      </c>
      <c r="F199">
        <v>45</v>
      </c>
      <c r="G199" t="s">
        <v>106</v>
      </c>
      <c r="H199" t="s">
        <v>93</v>
      </c>
      <c r="I199">
        <v>1</v>
      </c>
      <c r="J199">
        <v>0</v>
      </c>
      <c r="K199">
        <v>1</v>
      </c>
      <c r="L199" t="s">
        <v>60</v>
      </c>
      <c r="M199" t="s">
        <v>443</v>
      </c>
      <c r="N199" t="s">
        <v>444</v>
      </c>
      <c r="O199">
        <v>0</v>
      </c>
      <c r="P199">
        <v>0</v>
      </c>
      <c r="Q199">
        <v>0</v>
      </c>
      <c r="S199">
        <v>1</v>
      </c>
      <c r="T199">
        <v>3</v>
      </c>
      <c r="U199">
        <v>0</v>
      </c>
      <c r="V199" t="s">
        <v>60</v>
      </c>
      <c r="W199">
        <v>2</v>
      </c>
      <c r="X199">
        <v>1</v>
      </c>
      <c r="Y199">
        <v>0</v>
      </c>
      <c r="Z199" t="s">
        <v>46</v>
      </c>
      <c r="AA199">
        <v>0</v>
      </c>
      <c r="AB199">
        <v>3</v>
      </c>
      <c r="AC199">
        <v>0</v>
      </c>
      <c r="AD199">
        <v>0</v>
      </c>
      <c r="AE199">
        <v>0</v>
      </c>
      <c r="AF199">
        <v>0</v>
      </c>
      <c r="AG199" t="s">
        <v>445</v>
      </c>
    </row>
    <row r="200" spans="1:33" x14ac:dyDescent="0.2">
      <c r="A200" t="s">
        <v>229</v>
      </c>
      <c r="B200" t="s">
        <v>41</v>
      </c>
      <c r="C200" t="s">
        <v>42</v>
      </c>
      <c r="D200">
        <v>23</v>
      </c>
      <c r="E200" t="s">
        <v>51</v>
      </c>
      <c r="F200">
        <v>5484</v>
      </c>
      <c r="G200" t="s">
        <v>267</v>
      </c>
      <c r="H200" t="s">
        <v>69</v>
      </c>
      <c r="I200">
        <v>1</v>
      </c>
      <c r="J200">
        <v>0</v>
      </c>
      <c r="K200">
        <v>0</v>
      </c>
      <c r="L200" t="s">
        <v>46</v>
      </c>
      <c r="M200" t="s">
        <v>47</v>
      </c>
      <c r="N200" t="s">
        <v>446</v>
      </c>
      <c r="O200">
        <v>0</v>
      </c>
      <c r="P200">
        <v>1</v>
      </c>
      <c r="Q200">
        <v>0</v>
      </c>
      <c r="S200">
        <v>0</v>
      </c>
      <c r="T200">
        <v>0</v>
      </c>
      <c r="U200">
        <v>0</v>
      </c>
      <c r="V200" t="s">
        <v>53</v>
      </c>
      <c r="W200">
        <v>2</v>
      </c>
      <c r="X200">
        <v>1</v>
      </c>
      <c r="Y200">
        <v>0</v>
      </c>
      <c r="Z200" t="s">
        <v>46</v>
      </c>
      <c r="AA200">
        <v>1</v>
      </c>
      <c r="AB200">
        <v>3</v>
      </c>
      <c r="AC200">
        <v>0</v>
      </c>
      <c r="AD200">
        <v>0</v>
      </c>
      <c r="AE200">
        <v>0</v>
      </c>
      <c r="AF200">
        <v>0</v>
      </c>
    </row>
    <row r="201" spans="1:33" x14ac:dyDescent="0.2">
      <c r="A201" t="s">
        <v>434</v>
      </c>
      <c r="B201" t="s">
        <v>41</v>
      </c>
      <c r="C201" t="s">
        <v>42</v>
      </c>
      <c r="D201">
        <v>23</v>
      </c>
      <c r="E201" t="s">
        <v>43</v>
      </c>
      <c r="F201">
        <v>868</v>
      </c>
      <c r="G201" t="s">
        <v>78</v>
      </c>
      <c r="H201" t="s">
        <v>87</v>
      </c>
      <c r="I201">
        <v>1</v>
      </c>
      <c r="J201">
        <v>1</v>
      </c>
      <c r="K201">
        <v>1</v>
      </c>
      <c r="L201" t="s">
        <v>60</v>
      </c>
      <c r="M201" t="s">
        <v>447</v>
      </c>
      <c r="N201" t="s">
        <v>408</v>
      </c>
      <c r="O201">
        <v>0</v>
      </c>
      <c r="P201">
        <v>0</v>
      </c>
      <c r="Q201">
        <v>0</v>
      </c>
      <c r="S201">
        <v>0</v>
      </c>
      <c r="T201">
        <v>2</v>
      </c>
      <c r="U201">
        <v>11.2</v>
      </c>
      <c r="V201" t="s">
        <v>49</v>
      </c>
      <c r="W201">
        <v>0</v>
      </c>
      <c r="X201">
        <v>1</v>
      </c>
      <c r="Y201">
        <v>0</v>
      </c>
      <c r="Z201" t="s">
        <v>49</v>
      </c>
      <c r="AA201">
        <v>0</v>
      </c>
      <c r="AB201">
        <v>3</v>
      </c>
      <c r="AC201">
        <v>0</v>
      </c>
      <c r="AD201">
        <v>0</v>
      </c>
      <c r="AE201">
        <v>0</v>
      </c>
      <c r="AF201">
        <v>0</v>
      </c>
      <c r="AG201" t="s">
        <v>448</v>
      </c>
    </row>
    <row r="202" spans="1:33" x14ac:dyDescent="0.2">
      <c r="A202" t="s">
        <v>412</v>
      </c>
      <c r="B202" t="s">
        <v>41</v>
      </c>
      <c r="C202" t="s">
        <v>42</v>
      </c>
      <c r="D202">
        <v>23</v>
      </c>
      <c r="E202" t="s">
        <v>63</v>
      </c>
      <c r="F202">
        <v>3176</v>
      </c>
      <c r="G202" t="s">
        <v>56</v>
      </c>
      <c r="H202" t="s">
        <v>57</v>
      </c>
      <c r="I202">
        <v>1</v>
      </c>
      <c r="J202">
        <v>0</v>
      </c>
      <c r="K202">
        <v>1</v>
      </c>
      <c r="L202" t="s">
        <v>46</v>
      </c>
      <c r="M202" t="s">
        <v>449</v>
      </c>
      <c r="N202" t="s">
        <v>450</v>
      </c>
      <c r="O202">
        <v>6</v>
      </c>
      <c r="P202">
        <v>1</v>
      </c>
      <c r="Q202">
        <v>0</v>
      </c>
      <c r="S202">
        <v>1</v>
      </c>
      <c r="T202">
        <v>0</v>
      </c>
      <c r="U202">
        <v>0</v>
      </c>
      <c r="V202" t="s">
        <v>46</v>
      </c>
      <c r="W202">
        <v>0</v>
      </c>
      <c r="X202">
        <v>2</v>
      </c>
      <c r="Y202">
        <v>2</v>
      </c>
      <c r="Z202" t="s">
        <v>46</v>
      </c>
      <c r="AA202">
        <v>1</v>
      </c>
      <c r="AB202">
        <v>5</v>
      </c>
      <c r="AC202">
        <v>0</v>
      </c>
      <c r="AD202">
        <v>0</v>
      </c>
      <c r="AE202">
        <v>0</v>
      </c>
      <c r="AF202">
        <v>1</v>
      </c>
    </row>
    <row r="203" spans="1:33" x14ac:dyDescent="0.2">
      <c r="A203" t="s">
        <v>436</v>
      </c>
      <c r="B203" t="s">
        <v>41</v>
      </c>
      <c r="C203" t="s">
        <v>42</v>
      </c>
      <c r="D203">
        <v>23</v>
      </c>
      <c r="E203" t="s">
        <v>67</v>
      </c>
      <c r="F203">
        <v>2867</v>
      </c>
      <c r="G203" t="s">
        <v>71</v>
      </c>
      <c r="H203" t="s">
        <v>69</v>
      </c>
      <c r="I203">
        <v>0</v>
      </c>
      <c r="J203">
        <v>0</v>
      </c>
      <c r="K203">
        <v>1</v>
      </c>
      <c r="L203" t="s">
        <v>46</v>
      </c>
      <c r="M203" t="s">
        <v>451</v>
      </c>
      <c r="N203" t="s">
        <v>452</v>
      </c>
      <c r="O203">
        <v>0</v>
      </c>
      <c r="P203">
        <v>0</v>
      </c>
      <c r="Q203">
        <v>0</v>
      </c>
      <c r="S203">
        <v>1</v>
      </c>
      <c r="T203">
        <v>3</v>
      </c>
      <c r="U203">
        <v>0</v>
      </c>
      <c r="V203" t="s">
        <v>49</v>
      </c>
      <c r="W203">
        <v>2</v>
      </c>
      <c r="X203">
        <v>1</v>
      </c>
      <c r="Y203">
        <v>0</v>
      </c>
      <c r="Z203" t="s">
        <v>46</v>
      </c>
      <c r="AA203">
        <v>0</v>
      </c>
      <c r="AB203">
        <v>3</v>
      </c>
      <c r="AC203">
        <v>0</v>
      </c>
      <c r="AD203">
        <v>0</v>
      </c>
      <c r="AE203">
        <v>0</v>
      </c>
      <c r="AF203">
        <v>1</v>
      </c>
      <c r="AG203" t="s">
        <v>453</v>
      </c>
    </row>
    <row r="204" spans="1:33" x14ac:dyDescent="0.2">
      <c r="A204" t="s">
        <v>436</v>
      </c>
      <c r="B204" t="s">
        <v>41</v>
      </c>
      <c r="C204" t="s">
        <v>42</v>
      </c>
      <c r="D204">
        <v>24</v>
      </c>
      <c r="E204" t="s">
        <v>67</v>
      </c>
      <c r="F204">
        <v>3865</v>
      </c>
      <c r="G204" t="s">
        <v>71</v>
      </c>
      <c r="H204" t="s">
        <v>47</v>
      </c>
      <c r="I204">
        <v>0</v>
      </c>
      <c r="J204">
        <v>0</v>
      </c>
      <c r="K204">
        <v>1</v>
      </c>
      <c r="L204" t="s">
        <v>46</v>
      </c>
      <c r="M204" t="s">
        <v>457</v>
      </c>
      <c r="N204" t="s">
        <v>458</v>
      </c>
      <c r="O204">
        <v>0</v>
      </c>
      <c r="P204">
        <v>0</v>
      </c>
      <c r="Q204">
        <v>0</v>
      </c>
      <c r="S204">
        <v>0</v>
      </c>
      <c r="T204">
        <v>1</v>
      </c>
      <c r="U204">
        <v>6.7</v>
      </c>
      <c r="V204" t="s">
        <v>60</v>
      </c>
      <c r="W204">
        <v>2</v>
      </c>
      <c r="X204">
        <v>0</v>
      </c>
      <c r="Y204">
        <v>0</v>
      </c>
      <c r="Z204" t="s">
        <v>46</v>
      </c>
      <c r="AA204">
        <v>0</v>
      </c>
      <c r="AB204">
        <v>2</v>
      </c>
      <c r="AC204">
        <v>0</v>
      </c>
      <c r="AD204">
        <v>0</v>
      </c>
      <c r="AE204">
        <v>0</v>
      </c>
      <c r="AF204">
        <v>0</v>
      </c>
    </row>
    <row r="205" spans="1:33" x14ac:dyDescent="0.2">
      <c r="A205" t="s">
        <v>135</v>
      </c>
      <c r="B205" t="s">
        <v>41</v>
      </c>
      <c r="C205" t="s">
        <v>42</v>
      </c>
      <c r="D205">
        <v>24</v>
      </c>
      <c r="E205" t="s">
        <v>85</v>
      </c>
      <c r="F205">
        <v>71</v>
      </c>
      <c r="G205" t="s">
        <v>68</v>
      </c>
      <c r="H205" t="s">
        <v>47</v>
      </c>
      <c r="I205">
        <v>1</v>
      </c>
      <c r="J205">
        <v>0</v>
      </c>
      <c r="K205">
        <v>1</v>
      </c>
      <c r="L205" t="s">
        <v>60</v>
      </c>
      <c r="M205" t="s">
        <v>47</v>
      </c>
      <c r="N205" t="s">
        <v>459</v>
      </c>
      <c r="O205">
        <v>0</v>
      </c>
      <c r="P205">
        <v>0</v>
      </c>
      <c r="Q205">
        <v>0</v>
      </c>
      <c r="S205">
        <v>0</v>
      </c>
      <c r="T205">
        <v>2</v>
      </c>
      <c r="U205">
        <v>0</v>
      </c>
      <c r="V205" t="s">
        <v>60</v>
      </c>
      <c r="W205">
        <v>2</v>
      </c>
      <c r="X205">
        <v>1</v>
      </c>
      <c r="Y205">
        <v>0</v>
      </c>
      <c r="Z205" t="s">
        <v>46</v>
      </c>
      <c r="AA205">
        <v>0</v>
      </c>
      <c r="AB205">
        <v>3</v>
      </c>
      <c r="AC205">
        <v>0</v>
      </c>
      <c r="AD205">
        <v>0</v>
      </c>
      <c r="AE205">
        <v>0</v>
      </c>
      <c r="AF205">
        <v>0</v>
      </c>
      <c r="AG205" t="s">
        <v>460</v>
      </c>
    </row>
    <row r="206" spans="1:33" x14ac:dyDescent="0.2">
      <c r="A206" t="s">
        <v>229</v>
      </c>
      <c r="B206" t="s">
        <v>164</v>
      </c>
      <c r="C206" t="s">
        <v>42</v>
      </c>
      <c r="D206">
        <v>24</v>
      </c>
      <c r="E206" t="s">
        <v>51</v>
      </c>
      <c r="F206">
        <v>6956</v>
      </c>
      <c r="G206" t="s">
        <v>44</v>
      </c>
      <c r="H206" t="s">
        <v>47</v>
      </c>
      <c r="I206">
        <v>1</v>
      </c>
      <c r="J206">
        <v>0</v>
      </c>
      <c r="K206">
        <v>0</v>
      </c>
      <c r="L206" t="s">
        <v>46</v>
      </c>
      <c r="M206" t="s">
        <v>461</v>
      </c>
      <c r="N206" t="s">
        <v>462</v>
      </c>
      <c r="O206">
        <v>0</v>
      </c>
      <c r="P206">
        <v>0</v>
      </c>
      <c r="Q206">
        <v>0</v>
      </c>
      <c r="S206">
        <v>1</v>
      </c>
      <c r="T206" t="s">
        <v>54</v>
      </c>
      <c r="U206">
        <v>0</v>
      </c>
      <c r="V206" t="s">
        <v>60</v>
      </c>
      <c r="W206">
        <v>2</v>
      </c>
      <c r="X206" t="s">
        <v>216</v>
      </c>
      <c r="Y206">
        <v>2</v>
      </c>
      <c r="Z206" t="s">
        <v>181</v>
      </c>
      <c r="AA206">
        <v>0</v>
      </c>
      <c r="AB206">
        <v>4</v>
      </c>
      <c r="AC206">
        <v>0</v>
      </c>
      <c r="AD206">
        <v>0</v>
      </c>
      <c r="AE206">
        <v>0</v>
      </c>
      <c r="AF206">
        <v>1</v>
      </c>
    </row>
    <row r="207" spans="1:33" x14ac:dyDescent="0.2">
      <c r="A207" t="s">
        <v>463</v>
      </c>
      <c r="B207" t="s">
        <v>41</v>
      </c>
      <c r="C207" t="s">
        <v>42</v>
      </c>
      <c r="D207">
        <v>24</v>
      </c>
      <c r="E207" t="s">
        <v>63</v>
      </c>
      <c r="F207">
        <v>5402</v>
      </c>
      <c r="G207" t="s">
        <v>56</v>
      </c>
      <c r="H207" t="s">
        <v>47</v>
      </c>
      <c r="I207">
        <v>1</v>
      </c>
      <c r="J207">
        <v>0</v>
      </c>
      <c r="K207">
        <v>1</v>
      </c>
      <c r="L207" t="s">
        <v>46</v>
      </c>
      <c r="M207" t="s">
        <v>47</v>
      </c>
      <c r="N207" t="s">
        <v>464</v>
      </c>
      <c r="O207">
        <v>0</v>
      </c>
      <c r="P207">
        <v>1</v>
      </c>
      <c r="Q207">
        <v>0</v>
      </c>
      <c r="S207">
        <v>1</v>
      </c>
      <c r="T207">
        <v>1</v>
      </c>
      <c r="U207">
        <v>0</v>
      </c>
      <c r="V207" t="s">
        <v>46</v>
      </c>
      <c r="W207">
        <v>2</v>
      </c>
      <c r="X207">
        <v>1</v>
      </c>
      <c r="Y207">
        <v>1</v>
      </c>
      <c r="Z207" t="s">
        <v>46</v>
      </c>
      <c r="AA207">
        <v>1</v>
      </c>
      <c r="AB207">
        <v>3</v>
      </c>
      <c r="AC207">
        <v>0</v>
      </c>
      <c r="AD207">
        <v>0</v>
      </c>
      <c r="AE207">
        <v>0</v>
      </c>
      <c r="AF207">
        <v>0</v>
      </c>
    </row>
    <row r="208" spans="1:33" x14ac:dyDescent="0.2">
      <c r="A208" t="s">
        <v>272</v>
      </c>
      <c r="B208" t="s">
        <v>164</v>
      </c>
      <c r="C208" t="s">
        <v>42</v>
      </c>
      <c r="D208">
        <v>24</v>
      </c>
      <c r="E208" t="s">
        <v>81</v>
      </c>
      <c r="F208">
        <v>4982</v>
      </c>
      <c r="G208" t="s">
        <v>106</v>
      </c>
      <c r="H208" t="s">
        <v>47</v>
      </c>
      <c r="I208">
        <v>0</v>
      </c>
      <c r="J208">
        <v>0</v>
      </c>
      <c r="K208">
        <v>0</v>
      </c>
      <c r="L208" t="s">
        <v>46</v>
      </c>
      <c r="M208" t="s">
        <v>47</v>
      </c>
      <c r="N208" t="s">
        <v>47</v>
      </c>
      <c r="O208">
        <v>0</v>
      </c>
      <c r="P208">
        <v>0</v>
      </c>
      <c r="Q208">
        <v>0</v>
      </c>
      <c r="S208">
        <v>0</v>
      </c>
      <c r="T208" t="s">
        <v>46</v>
      </c>
      <c r="U208">
        <v>0</v>
      </c>
      <c r="V208" t="s">
        <v>46</v>
      </c>
      <c r="W208">
        <v>2</v>
      </c>
      <c r="X208" t="s">
        <v>46</v>
      </c>
      <c r="Y208">
        <v>0</v>
      </c>
      <c r="Z208" t="s">
        <v>46</v>
      </c>
      <c r="AA208">
        <v>0</v>
      </c>
      <c r="AB208">
        <v>3</v>
      </c>
      <c r="AC208">
        <v>1</v>
      </c>
      <c r="AD208">
        <v>0</v>
      </c>
      <c r="AE208">
        <v>0</v>
      </c>
      <c r="AF208">
        <v>0</v>
      </c>
      <c r="AG208" t="s">
        <v>465</v>
      </c>
    </row>
    <row r="209" spans="1:33" x14ac:dyDescent="0.2">
      <c r="A209" t="s">
        <v>434</v>
      </c>
      <c r="B209" t="s">
        <v>41</v>
      </c>
      <c r="C209" t="s">
        <v>42</v>
      </c>
      <c r="D209">
        <v>24</v>
      </c>
      <c r="E209" t="s">
        <v>43</v>
      </c>
      <c r="F209">
        <v>6956</v>
      </c>
      <c r="G209" t="s">
        <v>44</v>
      </c>
      <c r="H209" t="s">
        <v>47</v>
      </c>
      <c r="I209">
        <v>1</v>
      </c>
      <c r="J209">
        <v>0</v>
      </c>
      <c r="K209">
        <v>0</v>
      </c>
      <c r="L209" t="s">
        <v>46</v>
      </c>
      <c r="M209" t="s">
        <v>466</v>
      </c>
      <c r="N209" t="s">
        <v>467</v>
      </c>
      <c r="O209">
        <v>0</v>
      </c>
      <c r="P209">
        <v>0</v>
      </c>
      <c r="Q209">
        <v>0</v>
      </c>
      <c r="S209">
        <v>1</v>
      </c>
      <c r="T209">
        <v>3</v>
      </c>
      <c r="U209">
        <v>0</v>
      </c>
      <c r="V209" t="s">
        <v>60</v>
      </c>
      <c r="W209">
        <v>2</v>
      </c>
      <c r="X209">
        <v>1</v>
      </c>
      <c r="Y209">
        <v>4</v>
      </c>
      <c r="Z209" t="s">
        <v>46</v>
      </c>
      <c r="AA209">
        <v>0</v>
      </c>
      <c r="AB209">
        <v>4</v>
      </c>
      <c r="AC209">
        <v>0</v>
      </c>
      <c r="AD209">
        <v>0</v>
      </c>
      <c r="AE209">
        <v>0</v>
      </c>
      <c r="AF209">
        <v>0</v>
      </c>
      <c r="AG209" t="s">
        <v>468</v>
      </c>
    </row>
    <row r="210" spans="1:33" x14ac:dyDescent="0.2">
      <c r="A210" t="s">
        <v>80</v>
      </c>
      <c r="B210" t="s">
        <v>164</v>
      </c>
      <c r="C210" t="s">
        <v>42</v>
      </c>
      <c r="D210">
        <v>25</v>
      </c>
      <c r="E210" t="s">
        <v>81</v>
      </c>
      <c r="F210">
        <v>3147</v>
      </c>
      <c r="G210" t="s">
        <v>71</v>
      </c>
      <c r="H210" t="s">
        <v>108</v>
      </c>
      <c r="I210">
        <v>1</v>
      </c>
      <c r="J210">
        <v>1</v>
      </c>
      <c r="K210">
        <v>1</v>
      </c>
      <c r="L210" t="s">
        <v>46</v>
      </c>
      <c r="M210" t="s">
        <v>469</v>
      </c>
      <c r="N210" t="s">
        <v>470</v>
      </c>
      <c r="O210">
        <v>0</v>
      </c>
      <c r="P210">
        <v>1</v>
      </c>
      <c r="Q210">
        <v>0</v>
      </c>
      <c r="S210">
        <v>0</v>
      </c>
      <c r="T210" t="s">
        <v>54</v>
      </c>
      <c r="U210">
        <v>6.7</v>
      </c>
      <c r="V210" t="s">
        <v>60</v>
      </c>
      <c r="W210">
        <v>1</v>
      </c>
      <c r="X210" t="s">
        <v>49</v>
      </c>
      <c r="Y210">
        <v>0</v>
      </c>
      <c r="Z210" t="s">
        <v>46</v>
      </c>
      <c r="AA210">
        <v>0</v>
      </c>
      <c r="AB210">
        <v>3</v>
      </c>
      <c r="AC210">
        <v>0</v>
      </c>
      <c r="AD210">
        <v>0</v>
      </c>
      <c r="AE210">
        <v>0</v>
      </c>
      <c r="AF210">
        <v>0</v>
      </c>
      <c r="AG210" t="s">
        <v>360</v>
      </c>
    </row>
    <row r="211" spans="1:33" x14ac:dyDescent="0.2">
      <c r="A211" t="s">
        <v>288</v>
      </c>
      <c r="B211" t="s">
        <v>164</v>
      </c>
      <c r="C211" t="s">
        <v>42</v>
      </c>
      <c r="D211">
        <v>25</v>
      </c>
      <c r="E211" t="s">
        <v>51</v>
      </c>
      <c r="F211">
        <v>2909</v>
      </c>
      <c r="G211" t="s">
        <v>44</v>
      </c>
      <c r="H211" t="s">
        <v>47</v>
      </c>
      <c r="I211">
        <v>1</v>
      </c>
      <c r="J211">
        <v>1</v>
      </c>
      <c r="K211">
        <v>1</v>
      </c>
      <c r="L211" t="s">
        <v>46</v>
      </c>
      <c r="M211" t="s">
        <v>47</v>
      </c>
      <c r="N211" t="s">
        <v>47</v>
      </c>
      <c r="O211">
        <v>0</v>
      </c>
      <c r="P211">
        <v>0</v>
      </c>
      <c r="Q211">
        <v>0</v>
      </c>
      <c r="S211">
        <v>0</v>
      </c>
      <c r="T211" t="s">
        <v>46</v>
      </c>
      <c r="U211">
        <v>0</v>
      </c>
      <c r="V211" t="s">
        <v>49</v>
      </c>
      <c r="W211">
        <v>1</v>
      </c>
      <c r="X211" t="s">
        <v>471</v>
      </c>
      <c r="Y211">
        <v>0</v>
      </c>
      <c r="Z211" t="s">
        <v>49</v>
      </c>
      <c r="AA211">
        <v>0</v>
      </c>
      <c r="AB211">
        <v>2</v>
      </c>
      <c r="AC211">
        <v>0</v>
      </c>
      <c r="AD211">
        <v>0</v>
      </c>
      <c r="AE211">
        <v>0</v>
      </c>
      <c r="AF211">
        <v>0</v>
      </c>
    </row>
    <row r="212" spans="1:33" x14ac:dyDescent="0.2">
      <c r="A212" t="s">
        <v>434</v>
      </c>
      <c r="B212" t="s">
        <v>41</v>
      </c>
      <c r="C212" t="s">
        <v>42</v>
      </c>
      <c r="D212">
        <v>25</v>
      </c>
      <c r="E212" t="s">
        <v>43</v>
      </c>
      <c r="F212">
        <v>1024</v>
      </c>
      <c r="G212" t="s">
        <v>78</v>
      </c>
      <c r="H212" t="s">
        <v>129</v>
      </c>
      <c r="I212">
        <v>0</v>
      </c>
      <c r="J212">
        <v>0</v>
      </c>
      <c r="K212">
        <v>1</v>
      </c>
      <c r="L212" t="s">
        <v>60</v>
      </c>
      <c r="M212" t="s">
        <v>47</v>
      </c>
      <c r="N212" t="s">
        <v>472</v>
      </c>
      <c r="O212">
        <v>0</v>
      </c>
      <c r="P212">
        <v>0</v>
      </c>
      <c r="Q212">
        <v>0</v>
      </c>
      <c r="S212">
        <v>1</v>
      </c>
      <c r="T212">
        <v>3</v>
      </c>
      <c r="U212">
        <v>0</v>
      </c>
      <c r="V212" t="s">
        <v>49</v>
      </c>
      <c r="W212">
        <v>0</v>
      </c>
      <c r="X212">
        <v>2</v>
      </c>
      <c r="Y212">
        <v>2</v>
      </c>
      <c r="Z212" t="s">
        <v>181</v>
      </c>
      <c r="AA212">
        <v>0</v>
      </c>
      <c r="AB212">
        <v>5</v>
      </c>
      <c r="AC212">
        <v>0</v>
      </c>
      <c r="AD212">
        <v>0</v>
      </c>
      <c r="AE212">
        <v>0</v>
      </c>
      <c r="AF212">
        <v>0</v>
      </c>
    </row>
    <row r="213" spans="1:33" x14ac:dyDescent="0.2">
      <c r="A213" t="s">
        <v>76</v>
      </c>
      <c r="B213" t="s">
        <v>41</v>
      </c>
      <c r="C213" t="s">
        <v>42</v>
      </c>
      <c r="D213">
        <v>25</v>
      </c>
      <c r="E213" t="s">
        <v>85</v>
      </c>
      <c r="F213">
        <v>2197</v>
      </c>
      <c r="G213" t="s">
        <v>68</v>
      </c>
      <c r="H213" t="s">
        <v>47</v>
      </c>
      <c r="I213">
        <v>0</v>
      </c>
      <c r="J213">
        <v>0</v>
      </c>
      <c r="K213">
        <v>0</v>
      </c>
      <c r="L213" t="s">
        <v>60</v>
      </c>
      <c r="M213" t="s">
        <v>47</v>
      </c>
      <c r="N213" t="s">
        <v>473</v>
      </c>
      <c r="O213">
        <v>0</v>
      </c>
      <c r="P213">
        <v>0</v>
      </c>
      <c r="Q213">
        <v>0</v>
      </c>
      <c r="S213">
        <v>1</v>
      </c>
      <c r="T213">
        <v>1</v>
      </c>
      <c r="U213">
        <v>0</v>
      </c>
      <c r="V213" t="s">
        <v>49</v>
      </c>
      <c r="W213">
        <v>1</v>
      </c>
      <c r="X213">
        <v>2</v>
      </c>
      <c r="Y213">
        <v>0</v>
      </c>
      <c r="Z213" t="s">
        <v>46</v>
      </c>
      <c r="AA213">
        <v>1</v>
      </c>
      <c r="AB213">
        <v>5</v>
      </c>
      <c r="AC213">
        <v>0</v>
      </c>
      <c r="AD213">
        <v>0</v>
      </c>
      <c r="AE213">
        <v>0</v>
      </c>
      <c r="AF213">
        <v>1</v>
      </c>
      <c r="AG213" t="s">
        <v>474</v>
      </c>
    </row>
    <row r="214" spans="1:33" x14ac:dyDescent="0.2">
      <c r="A214" t="s">
        <v>463</v>
      </c>
      <c r="B214" t="s">
        <v>41</v>
      </c>
      <c r="C214" t="s">
        <v>42</v>
      </c>
      <c r="D214">
        <v>25</v>
      </c>
      <c r="E214" t="s">
        <v>63</v>
      </c>
      <c r="F214">
        <v>9071</v>
      </c>
      <c r="G214" t="s">
        <v>56</v>
      </c>
      <c r="H214" t="s">
        <v>47</v>
      </c>
      <c r="I214">
        <v>1</v>
      </c>
      <c r="J214">
        <v>0</v>
      </c>
      <c r="K214">
        <v>1</v>
      </c>
      <c r="L214" t="s">
        <v>46</v>
      </c>
      <c r="M214" t="s">
        <v>47</v>
      </c>
      <c r="N214" t="s">
        <v>48</v>
      </c>
      <c r="O214">
        <v>0</v>
      </c>
      <c r="P214">
        <v>1</v>
      </c>
      <c r="Q214">
        <v>0</v>
      </c>
      <c r="S214">
        <v>0</v>
      </c>
      <c r="T214">
        <v>0</v>
      </c>
      <c r="U214">
        <v>0</v>
      </c>
      <c r="V214" t="s">
        <v>46</v>
      </c>
      <c r="W214">
        <v>0</v>
      </c>
      <c r="X214">
        <v>1</v>
      </c>
      <c r="Y214">
        <v>0</v>
      </c>
      <c r="Z214" t="s">
        <v>46</v>
      </c>
      <c r="AA214">
        <v>0</v>
      </c>
      <c r="AB214">
        <v>3</v>
      </c>
      <c r="AC214">
        <v>0</v>
      </c>
      <c r="AD214">
        <v>1</v>
      </c>
      <c r="AE214">
        <v>0</v>
      </c>
      <c r="AF214">
        <v>0</v>
      </c>
    </row>
    <row r="215" spans="1:33" x14ac:dyDescent="0.2">
      <c r="A215" t="s">
        <v>84</v>
      </c>
      <c r="B215" t="s">
        <v>41</v>
      </c>
      <c r="C215" t="s">
        <v>42</v>
      </c>
      <c r="D215">
        <v>25</v>
      </c>
      <c r="E215" t="s">
        <v>67</v>
      </c>
      <c r="F215">
        <v>9119</v>
      </c>
      <c r="G215" t="s">
        <v>106</v>
      </c>
      <c r="H215" t="s">
        <v>47</v>
      </c>
      <c r="I215">
        <v>0</v>
      </c>
      <c r="J215">
        <v>0</v>
      </c>
      <c r="K215">
        <v>0</v>
      </c>
      <c r="L215" t="s">
        <v>46</v>
      </c>
      <c r="M215" t="s">
        <v>47</v>
      </c>
      <c r="N215" t="s">
        <v>47</v>
      </c>
      <c r="O215">
        <v>0</v>
      </c>
      <c r="P215">
        <v>0</v>
      </c>
      <c r="Q215">
        <v>1</v>
      </c>
      <c r="R215">
        <v>2197</v>
      </c>
      <c r="S215">
        <v>0</v>
      </c>
      <c r="T215">
        <v>0</v>
      </c>
      <c r="U215">
        <v>0</v>
      </c>
      <c r="V215" t="s">
        <v>46</v>
      </c>
      <c r="W215">
        <v>1</v>
      </c>
      <c r="X215">
        <v>1</v>
      </c>
      <c r="Y215">
        <v>0</v>
      </c>
      <c r="Z215" t="s">
        <v>181</v>
      </c>
      <c r="AA215">
        <v>1</v>
      </c>
      <c r="AB215">
        <v>3</v>
      </c>
      <c r="AC215">
        <v>0</v>
      </c>
      <c r="AD215">
        <v>1</v>
      </c>
      <c r="AE215">
        <v>0</v>
      </c>
      <c r="AF215">
        <v>1</v>
      </c>
      <c r="AG215" t="s">
        <v>475</v>
      </c>
    </row>
    <row r="216" spans="1:33" x14ac:dyDescent="0.2">
      <c r="A216" t="s">
        <v>76</v>
      </c>
      <c r="B216" t="s">
        <v>41</v>
      </c>
      <c r="C216" t="s">
        <v>42</v>
      </c>
      <c r="D216">
        <v>26</v>
      </c>
      <c r="E216" t="s">
        <v>85</v>
      </c>
      <c r="F216">
        <v>7477</v>
      </c>
      <c r="G216" t="s">
        <v>106</v>
      </c>
      <c r="H216" t="s">
        <v>47</v>
      </c>
      <c r="I216">
        <v>0</v>
      </c>
      <c r="J216">
        <v>0</v>
      </c>
      <c r="K216">
        <v>0</v>
      </c>
      <c r="L216" t="s">
        <v>46</v>
      </c>
      <c r="M216" t="s">
        <v>47</v>
      </c>
      <c r="N216" t="s">
        <v>520</v>
      </c>
      <c r="O216">
        <v>0</v>
      </c>
      <c r="P216">
        <v>0</v>
      </c>
      <c r="Q216">
        <v>0</v>
      </c>
      <c r="S216">
        <v>0</v>
      </c>
      <c r="U216">
        <v>0</v>
      </c>
      <c r="V216" t="s">
        <v>46</v>
      </c>
      <c r="W216">
        <v>0</v>
      </c>
      <c r="X216">
        <v>-1</v>
      </c>
      <c r="Y216">
        <v>0</v>
      </c>
      <c r="Z216" t="s">
        <v>46</v>
      </c>
      <c r="AA216">
        <v>0</v>
      </c>
      <c r="AB216">
        <v>3</v>
      </c>
      <c r="AC216">
        <v>1</v>
      </c>
      <c r="AD216">
        <v>0</v>
      </c>
      <c r="AE216">
        <v>0</v>
      </c>
      <c r="AF216">
        <v>0</v>
      </c>
    </row>
    <row r="217" spans="1:33" x14ac:dyDescent="0.2">
      <c r="A217" t="s">
        <v>76</v>
      </c>
      <c r="B217" t="s">
        <v>41</v>
      </c>
      <c r="C217" t="s">
        <v>42</v>
      </c>
      <c r="D217">
        <v>27</v>
      </c>
      <c r="E217" t="s">
        <v>85</v>
      </c>
      <c r="F217">
        <v>6721</v>
      </c>
      <c r="G217" t="s">
        <v>106</v>
      </c>
      <c r="H217" t="s">
        <v>408</v>
      </c>
      <c r="I217">
        <v>0</v>
      </c>
      <c r="J217">
        <v>0</v>
      </c>
      <c r="K217">
        <v>1</v>
      </c>
      <c r="L217" t="s">
        <v>46</v>
      </c>
      <c r="M217" t="s">
        <v>47</v>
      </c>
      <c r="N217" t="s">
        <v>47</v>
      </c>
      <c r="O217">
        <v>0</v>
      </c>
      <c r="P217">
        <v>0</v>
      </c>
      <c r="Q217">
        <v>0</v>
      </c>
      <c r="S217">
        <v>0</v>
      </c>
      <c r="T217">
        <v>0</v>
      </c>
      <c r="U217">
        <v>0</v>
      </c>
      <c r="V217" t="s">
        <v>46</v>
      </c>
      <c r="W217">
        <v>1</v>
      </c>
      <c r="X217">
        <v>2</v>
      </c>
      <c r="Y217">
        <v>0</v>
      </c>
      <c r="Z217" t="s">
        <v>60</v>
      </c>
      <c r="AA217">
        <v>0</v>
      </c>
      <c r="AB217">
        <v>3</v>
      </c>
      <c r="AC217">
        <v>0</v>
      </c>
      <c r="AD217">
        <v>0</v>
      </c>
      <c r="AE217">
        <v>0</v>
      </c>
      <c r="AF217">
        <v>1</v>
      </c>
    </row>
    <row r="218" spans="1:33" x14ac:dyDescent="0.2">
      <c r="A218" t="s">
        <v>84</v>
      </c>
      <c r="B218" t="s">
        <v>41</v>
      </c>
      <c r="C218" t="s">
        <v>42</v>
      </c>
      <c r="D218">
        <v>28</v>
      </c>
      <c r="E218" t="s">
        <v>67</v>
      </c>
      <c r="F218">
        <v>1024</v>
      </c>
      <c r="G218" t="s">
        <v>72</v>
      </c>
      <c r="H218" t="s">
        <v>47</v>
      </c>
      <c r="I218">
        <v>1</v>
      </c>
      <c r="J218">
        <v>1</v>
      </c>
      <c r="K218">
        <v>1</v>
      </c>
      <c r="L218" t="s">
        <v>60</v>
      </c>
      <c r="M218" t="s">
        <v>486</v>
      </c>
      <c r="N218" t="s">
        <v>487</v>
      </c>
      <c r="O218">
        <v>0</v>
      </c>
      <c r="P218">
        <v>0</v>
      </c>
      <c r="Q218">
        <v>0</v>
      </c>
      <c r="S218">
        <v>0</v>
      </c>
      <c r="T218">
        <v>3</v>
      </c>
      <c r="U218">
        <v>5.4</v>
      </c>
      <c r="V218" t="s">
        <v>49</v>
      </c>
      <c r="W218">
        <v>2</v>
      </c>
      <c r="X218">
        <v>2</v>
      </c>
      <c r="Y218">
        <v>1</v>
      </c>
      <c r="Z218" t="s">
        <v>181</v>
      </c>
      <c r="AA218">
        <v>1</v>
      </c>
      <c r="AB218">
        <v>4</v>
      </c>
      <c r="AC218">
        <v>0</v>
      </c>
      <c r="AD218">
        <v>0</v>
      </c>
      <c r="AE218">
        <v>0</v>
      </c>
      <c r="AF218">
        <v>1</v>
      </c>
      <c r="AG218" t="s">
        <v>488</v>
      </c>
    </row>
    <row r="219" spans="1:33" x14ac:dyDescent="0.2">
      <c r="A219" t="s">
        <v>76</v>
      </c>
      <c r="B219" t="s">
        <v>41</v>
      </c>
      <c r="C219" t="s">
        <v>42</v>
      </c>
      <c r="D219">
        <v>28</v>
      </c>
      <c r="E219" t="s">
        <v>85</v>
      </c>
      <c r="F219">
        <v>4982</v>
      </c>
      <c r="G219" t="s">
        <v>106</v>
      </c>
      <c r="H219" t="s">
        <v>47</v>
      </c>
      <c r="I219">
        <v>1</v>
      </c>
      <c r="J219">
        <v>1</v>
      </c>
      <c r="K219">
        <v>1</v>
      </c>
      <c r="L219" t="s">
        <v>46</v>
      </c>
      <c r="M219" t="s">
        <v>521</v>
      </c>
      <c r="N219" t="s">
        <v>522</v>
      </c>
      <c r="O219">
        <v>0</v>
      </c>
      <c r="P219">
        <v>0</v>
      </c>
      <c r="Q219">
        <v>0</v>
      </c>
      <c r="S219">
        <v>0</v>
      </c>
      <c r="U219">
        <v>0</v>
      </c>
      <c r="V219" t="s">
        <v>60</v>
      </c>
      <c r="W219">
        <v>2</v>
      </c>
      <c r="X219">
        <v>1</v>
      </c>
      <c r="Y219">
        <v>0</v>
      </c>
      <c r="Z219" t="s">
        <v>46</v>
      </c>
      <c r="AA219">
        <v>1</v>
      </c>
      <c r="AB219">
        <v>3</v>
      </c>
      <c r="AC219">
        <v>0</v>
      </c>
      <c r="AD219">
        <v>0</v>
      </c>
      <c r="AE219">
        <v>0</v>
      </c>
      <c r="AF219">
        <v>0</v>
      </c>
    </row>
    <row r="220" spans="1:33" x14ac:dyDescent="0.2">
      <c r="A220" t="s">
        <v>76</v>
      </c>
      <c r="B220" t="s">
        <v>41</v>
      </c>
      <c r="C220" t="s">
        <v>42</v>
      </c>
      <c r="D220">
        <v>28</v>
      </c>
      <c r="E220" t="s">
        <v>85</v>
      </c>
      <c r="F220">
        <v>4982</v>
      </c>
      <c r="G220" t="s">
        <v>106</v>
      </c>
      <c r="H220" t="s">
        <v>47</v>
      </c>
      <c r="I220">
        <v>1</v>
      </c>
      <c r="J220">
        <v>1</v>
      </c>
      <c r="K220">
        <v>1</v>
      </c>
      <c r="L220" t="s">
        <v>46</v>
      </c>
      <c r="M220" t="s">
        <v>521</v>
      </c>
      <c r="N220" t="s">
        <v>522</v>
      </c>
      <c r="O220">
        <v>0</v>
      </c>
      <c r="P220">
        <v>0</v>
      </c>
      <c r="Q220">
        <v>0</v>
      </c>
      <c r="S220">
        <v>0</v>
      </c>
      <c r="U220">
        <v>0</v>
      </c>
      <c r="V220" t="s">
        <v>60</v>
      </c>
      <c r="W220">
        <v>2</v>
      </c>
      <c r="X220">
        <v>1</v>
      </c>
      <c r="Y220">
        <v>0</v>
      </c>
      <c r="Z220" t="s">
        <v>46</v>
      </c>
      <c r="AA220">
        <v>1</v>
      </c>
      <c r="AB220">
        <v>3</v>
      </c>
      <c r="AC220">
        <v>0</v>
      </c>
      <c r="AD220">
        <v>0</v>
      </c>
      <c r="AE220">
        <v>0</v>
      </c>
      <c r="AF220">
        <v>0</v>
      </c>
    </row>
    <row r="221" spans="1:33" x14ac:dyDescent="0.2">
      <c r="A221" t="s">
        <v>76</v>
      </c>
      <c r="B221" t="s">
        <v>41</v>
      </c>
      <c r="C221" t="s">
        <v>42</v>
      </c>
      <c r="D221">
        <v>29</v>
      </c>
      <c r="E221" t="s">
        <v>85</v>
      </c>
      <c r="F221">
        <v>8103</v>
      </c>
      <c r="G221" t="s">
        <v>72</v>
      </c>
      <c r="H221" t="s">
        <v>47</v>
      </c>
      <c r="I221">
        <v>0</v>
      </c>
      <c r="J221">
        <v>0</v>
      </c>
      <c r="K221">
        <v>0</v>
      </c>
      <c r="L221" t="s">
        <v>46</v>
      </c>
      <c r="M221" t="s">
        <v>47</v>
      </c>
      <c r="N221" t="s">
        <v>607</v>
      </c>
      <c r="O221">
        <v>0</v>
      </c>
      <c r="P221">
        <v>0</v>
      </c>
      <c r="Q221">
        <v>0</v>
      </c>
      <c r="S221">
        <v>0</v>
      </c>
      <c r="T221">
        <v>2</v>
      </c>
      <c r="U221">
        <v>0</v>
      </c>
      <c r="V221" t="s">
        <v>60</v>
      </c>
      <c r="W221">
        <v>2</v>
      </c>
      <c r="X221">
        <v>0</v>
      </c>
      <c r="Y221">
        <v>0</v>
      </c>
      <c r="Z221" t="s">
        <v>46</v>
      </c>
      <c r="AA221">
        <v>0</v>
      </c>
      <c r="AB221">
        <v>3</v>
      </c>
      <c r="AC221">
        <v>0</v>
      </c>
      <c r="AD221">
        <v>1</v>
      </c>
      <c r="AE221">
        <v>1</v>
      </c>
      <c r="AF221">
        <v>0</v>
      </c>
    </row>
    <row r="222" spans="1:33" x14ac:dyDescent="0.2">
      <c r="A222" t="s">
        <v>158</v>
      </c>
      <c r="B222" t="s">
        <v>41</v>
      </c>
      <c r="C222" t="s">
        <v>42</v>
      </c>
      <c r="D222">
        <v>29</v>
      </c>
      <c r="E222" t="s">
        <v>67</v>
      </c>
      <c r="F222">
        <v>5401</v>
      </c>
      <c r="G222" t="s">
        <v>483</v>
      </c>
      <c r="H222" t="s">
        <v>47</v>
      </c>
      <c r="I222">
        <v>1</v>
      </c>
      <c r="J222">
        <v>0</v>
      </c>
      <c r="K222">
        <v>1</v>
      </c>
      <c r="L222" t="s">
        <v>46</v>
      </c>
      <c r="M222" t="s">
        <v>47</v>
      </c>
      <c r="N222" t="s">
        <v>172</v>
      </c>
      <c r="O222">
        <v>0</v>
      </c>
      <c r="P222">
        <v>1</v>
      </c>
      <c r="Q222">
        <v>0</v>
      </c>
      <c r="S222">
        <v>0</v>
      </c>
      <c r="T222">
        <v>3</v>
      </c>
      <c r="U222">
        <v>0</v>
      </c>
      <c r="V222" t="s">
        <v>141</v>
      </c>
      <c r="W222">
        <v>2</v>
      </c>
      <c r="X222">
        <v>0</v>
      </c>
      <c r="Y222">
        <v>1</v>
      </c>
      <c r="Z222" t="s">
        <v>46</v>
      </c>
      <c r="AA222">
        <v>0</v>
      </c>
      <c r="AB222">
        <v>3</v>
      </c>
      <c r="AC222">
        <v>0</v>
      </c>
      <c r="AD222">
        <v>0</v>
      </c>
      <c r="AE222">
        <v>0</v>
      </c>
      <c r="AF222">
        <v>0</v>
      </c>
    </row>
    <row r="223" spans="1:33" x14ac:dyDescent="0.2">
      <c r="A223" t="s">
        <v>463</v>
      </c>
      <c r="B223" t="s">
        <v>41</v>
      </c>
      <c r="C223" t="s">
        <v>42</v>
      </c>
      <c r="D223">
        <v>29</v>
      </c>
      <c r="E223" t="s">
        <v>63</v>
      </c>
      <c r="F223">
        <v>6956</v>
      </c>
      <c r="G223" t="s">
        <v>44</v>
      </c>
      <c r="H223" t="s">
        <v>47</v>
      </c>
      <c r="I223">
        <v>1</v>
      </c>
      <c r="J223">
        <v>0</v>
      </c>
      <c r="K223">
        <v>1</v>
      </c>
      <c r="L223" t="s">
        <v>46</v>
      </c>
      <c r="M223" t="s">
        <v>478</v>
      </c>
      <c r="N223" t="s">
        <v>479</v>
      </c>
      <c r="O223">
        <v>0</v>
      </c>
      <c r="P223">
        <v>0</v>
      </c>
      <c r="Q223">
        <v>0</v>
      </c>
      <c r="S223">
        <v>1</v>
      </c>
      <c r="T223">
        <v>1</v>
      </c>
      <c r="U223">
        <v>0</v>
      </c>
      <c r="V223" t="s">
        <v>49</v>
      </c>
      <c r="W223">
        <v>2</v>
      </c>
      <c r="X223">
        <v>1</v>
      </c>
      <c r="Y223">
        <v>1</v>
      </c>
      <c r="Z223" t="s">
        <v>46</v>
      </c>
      <c r="AA223">
        <v>0</v>
      </c>
      <c r="AB223">
        <v>3</v>
      </c>
      <c r="AC223">
        <v>0</v>
      </c>
      <c r="AD223">
        <v>0</v>
      </c>
      <c r="AE223">
        <v>0</v>
      </c>
      <c r="AF223">
        <v>0</v>
      </c>
    </row>
    <row r="224" spans="1:33" x14ac:dyDescent="0.2">
      <c r="A224" t="s">
        <v>76</v>
      </c>
      <c r="B224" t="s">
        <v>164</v>
      </c>
      <c r="C224" t="s">
        <v>42</v>
      </c>
      <c r="D224">
        <v>29</v>
      </c>
      <c r="E224" t="s">
        <v>43</v>
      </c>
      <c r="F224">
        <v>5484</v>
      </c>
      <c r="G224" t="s">
        <v>489</v>
      </c>
      <c r="H224" t="s">
        <v>96</v>
      </c>
      <c r="I224">
        <v>0</v>
      </c>
      <c r="J224">
        <v>0</v>
      </c>
      <c r="K224">
        <v>1</v>
      </c>
      <c r="L224" t="s">
        <v>46</v>
      </c>
      <c r="M224" t="s">
        <v>47</v>
      </c>
      <c r="N224" t="s">
        <v>519</v>
      </c>
      <c r="O224">
        <v>0</v>
      </c>
      <c r="P224">
        <v>0</v>
      </c>
      <c r="Q224">
        <v>0</v>
      </c>
      <c r="S224">
        <v>1</v>
      </c>
      <c r="T224" t="s">
        <v>46</v>
      </c>
      <c r="U224">
        <v>0</v>
      </c>
      <c r="V224" t="s">
        <v>60</v>
      </c>
      <c r="W224">
        <v>2</v>
      </c>
      <c r="X224" t="s">
        <v>46</v>
      </c>
      <c r="Y224">
        <v>0</v>
      </c>
      <c r="Z224" t="s">
        <v>46</v>
      </c>
      <c r="AA224">
        <v>0</v>
      </c>
      <c r="AB224">
        <v>3</v>
      </c>
      <c r="AC224">
        <v>0</v>
      </c>
      <c r="AD224">
        <v>0</v>
      </c>
      <c r="AE224">
        <v>0</v>
      </c>
      <c r="AF224">
        <v>0</v>
      </c>
    </row>
    <row r="225" spans="1:33" x14ac:dyDescent="0.2">
      <c r="A225" t="s">
        <v>302</v>
      </c>
      <c r="B225" t="s">
        <v>164</v>
      </c>
      <c r="C225" t="s">
        <v>42</v>
      </c>
      <c r="D225">
        <v>29</v>
      </c>
      <c r="E225" t="s">
        <v>81</v>
      </c>
      <c r="F225">
        <v>9071</v>
      </c>
      <c r="G225" t="s">
        <v>106</v>
      </c>
      <c r="H225" t="s">
        <v>47</v>
      </c>
      <c r="I225">
        <v>0</v>
      </c>
      <c r="J225">
        <v>0</v>
      </c>
      <c r="K225">
        <v>0</v>
      </c>
      <c r="L225" t="s">
        <v>46</v>
      </c>
      <c r="M225" t="s">
        <v>47</v>
      </c>
      <c r="N225" t="s">
        <v>47</v>
      </c>
      <c r="O225">
        <v>0</v>
      </c>
      <c r="P225">
        <v>0</v>
      </c>
      <c r="Q225">
        <v>0</v>
      </c>
      <c r="S225">
        <v>0</v>
      </c>
      <c r="T225" t="s">
        <v>46</v>
      </c>
      <c r="U225">
        <v>0</v>
      </c>
      <c r="V225" t="s">
        <v>60</v>
      </c>
      <c r="W225">
        <v>2</v>
      </c>
      <c r="X225" t="s">
        <v>49</v>
      </c>
      <c r="Y225">
        <v>0</v>
      </c>
      <c r="Z225" t="s">
        <v>46</v>
      </c>
      <c r="AA225">
        <v>0</v>
      </c>
      <c r="AB225">
        <v>3</v>
      </c>
      <c r="AC225">
        <v>0</v>
      </c>
      <c r="AD225">
        <v>0</v>
      </c>
      <c r="AE225">
        <v>0</v>
      </c>
      <c r="AF225">
        <v>0</v>
      </c>
      <c r="AG225" t="s">
        <v>791</v>
      </c>
    </row>
    <row r="226" spans="1:33" x14ac:dyDescent="0.2">
      <c r="A226" t="s">
        <v>76</v>
      </c>
      <c r="B226" t="s">
        <v>164</v>
      </c>
      <c r="C226" t="s">
        <v>42</v>
      </c>
      <c r="D226">
        <v>30</v>
      </c>
      <c r="E226" t="s">
        <v>43</v>
      </c>
      <c r="F226">
        <v>2867</v>
      </c>
      <c r="G226" t="s">
        <v>44</v>
      </c>
      <c r="H226" t="s">
        <v>69</v>
      </c>
      <c r="I226">
        <v>0</v>
      </c>
      <c r="J226">
        <v>0</v>
      </c>
      <c r="K226">
        <v>0</v>
      </c>
      <c r="L226" t="s">
        <v>46</v>
      </c>
      <c r="M226" t="s">
        <v>47</v>
      </c>
      <c r="N226" t="s">
        <v>47</v>
      </c>
      <c r="O226">
        <v>0</v>
      </c>
      <c r="P226">
        <v>0</v>
      </c>
      <c r="Q226">
        <v>0</v>
      </c>
      <c r="S226">
        <v>0</v>
      </c>
      <c r="T226" t="s">
        <v>46</v>
      </c>
      <c r="U226">
        <v>0</v>
      </c>
      <c r="V226" t="s">
        <v>49</v>
      </c>
      <c r="W226">
        <v>0</v>
      </c>
      <c r="X226" t="s">
        <v>471</v>
      </c>
      <c r="Y226">
        <v>0</v>
      </c>
      <c r="Z226" t="s">
        <v>46</v>
      </c>
      <c r="AA226">
        <v>0</v>
      </c>
      <c r="AB226">
        <v>3</v>
      </c>
      <c r="AC226">
        <v>0</v>
      </c>
      <c r="AD226">
        <v>1</v>
      </c>
      <c r="AE226">
        <v>0</v>
      </c>
      <c r="AF226">
        <v>0</v>
      </c>
      <c r="AG226" t="s">
        <v>518</v>
      </c>
    </row>
    <row r="227" spans="1:33" x14ac:dyDescent="0.2">
      <c r="A227" t="s">
        <v>463</v>
      </c>
      <c r="B227" t="s">
        <v>41</v>
      </c>
      <c r="C227" t="s">
        <v>42</v>
      </c>
      <c r="D227">
        <v>30</v>
      </c>
      <c r="E227" t="s">
        <v>63</v>
      </c>
      <c r="F227">
        <v>135</v>
      </c>
      <c r="G227" t="s">
        <v>56</v>
      </c>
      <c r="H227" t="s">
        <v>93</v>
      </c>
      <c r="I227">
        <v>1</v>
      </c>
      <c r="J227">
        <v>0</v>
      </c>
      <c r="K227">
        <v>1</v>
      </c>
      <c r="L227" t="s">
        <v>46</v>
      </c>
      <c r="M227" t="s">
        <v>480</v>
      </c>
      <c r="N227" t="s">
        <v>481</v>
      </c>
      <c r="O227">
        <v>0</v>
      </c>
      <c r="P227">
        <v>0</v>
      </c>
      <c r="Q227">
        <v>0</v>
      </c>
      <c r="S227">
        <v>0</v>
      </c>
      <c r="T227">
        <v>3</v>
      </c>
      <c r="U227">
        <v>0</v>
      </c>
      <c r="V227" t="s">
        <v>46</v>
      </c>
      <c r="W227">
        <v>0</v>
      </c>
      <c r="X227">
        <v>2</v>
      </c>
      <c r="Y227">
        <v>0</v>
      </c>
      <c r="Z227" t="s">
        <v>46</v>
      </c>
      <c r="AA227">
        <v>1</v>
      </c>
      <c r="AB227">
        <v>5</v>
      </c>
      <c r="AC227">
        <v>0</v>
      </c>
      <c r="AD227">
        <v>0</v>
      </c>
      <c r="AE227">
        <v>1</v>
      </c>
      <c r="AF227">
        <v>1</v>
      </c>
    </row>
    <row r="228" spans="1:33" x14ac:dyDescent="0.2">
      <c r="A228" t="s">
        <v>482</v>
      </c>
      <c r="B228" t="s">
        <v>41</v>
      </c>
      <c r="C228" t="s">
        <v>42</v>
      </c>
      <c r="D228">
        <v>30</v>
      </c>
      <c r="E228" t="s">
        <v>67</v>
      </c>
      <c r="F228">
        <v>3487</v>
      </c>
      <c r="G228" t="s">
        <v>159</v>
      </c>
      <c r="H228" t="s">
        <v>87</v>
      </c>
      <c r="I228">
        <v>0</v>
      </c>
      <c r="J228">
        <v>1</v>
      </c>
      <c r="K228">
        <v>1</v>
      </c>
      <c r="L228" t="s">
        <v>60</v>
      </c>
      <c r="M228" t="s">
        <v>47</v>
      </c>
      <c r="N228" t="s">
        <v>253</v>
      </c>
      <c r="O228">
        <v>0</v>
      </c>
      <c r="P228">
        <v>1</v>
      </c>
      <c r="Q228">
        <v>0</v>
      </c>
      <c r="S228">
        <v>0</v>
      </c>
      <c r="T228">
        <v>1</v>
      </c>
      <c r="U228">
        <v>0</v>
      </c>
      <c r="V228" t="s">
        <v>60</v>
      </c>
      <c r="W228">
        <v>2</v>
      </c>
      <c r="X228">
        <v>2</v>
      </c>
      <c r="Y228">
        <v>1</v>
      </c>
      <c r="Z228" t="s">
        <v>46</v>
      </c>
      <c r="AA228">
        <v>1</v>
      </c>
      <c r="AB228">
        <v>3</v>
      </c>
      <c r="AC228">
        <v>0</v>
      </c>
      <c r="AD228">
        <v>0</v>
      </c>
      <c r="AE228">
        <v>0</v>
      </c>
      <c r="AF228">
        <v>1</v>
      </c>
    </row>
    <row r="229" spans="1:33" x14ac:dyDescent="0.2">
      <c r="A229" t="s">
        <v>76</v>
      </c>
      <c r="B229" t="s">
        <v>41</v>
      </c>
      <c r="C229" t="s">
        <v>42</v>
      </c>
      <c r="D229">
        <v>30</v>
      </c>
      <c r="E229" t="s">
        <v>85</v>
      </c>
      <c r="F229">
        <v>3936</v>
      </c>
      <c r="G229" t="s">
        <v>68</v>
      </c>
      <c r="H229" t="s">
        <v>87</v>
      </c>
      <c r="I229">
        <v>1</v>
      </c>
      <c r="J229">
        <v>1</v>
      </c>
      <c r="K229">
        <v>1</v>
      </c>
      <c r="L229" t="s">
        <v>46</v>
      </c>
      <c r="M229" t="s">
        <v>47</v>
      </c>
      <c r="N229" t="s">
        <v>625</v>
      </c>
      <c r="O229">
        <v>0</v>
      </c>
      <c r="P229">
        <v>0</v>
      </c>
      <c r="Q229">
        <v>0</v>
      </c>
      <c r="S229">
        <v>0</v>
      </c>
      <c r="U229">
        <v>0</v>
      </c>
      <c r="V229" t="s">
        <v>141</v>
      </c>
      <c r="W229">
        <v>2</v>
      </c>
      <c r="X229">
        <v>1</v>
      </c>
      <c r="Y229">
        <v>1</v>
      </c>
      <c r="Z229" t="s">
        <v>46</v>
      </c>
      <c r="AA229">
        <v>0</v>
      </c>
      <c r="AB229">
        <v>3</v>
      </c>
      <c r="AC229">
        <v>0</v>
      </c>
      <c r="AD229">
        <v>0</v>
      </c>
      <c r="AE229">
        <v>0</v>
      </c>
      <c r="AF229">
        <v>0</v>
      </c>
    </row>
    <row r="230" spans="1:33" x14ac:dyDescent="0.2">
      <c r="A230" t="s">
        <v>302</v>
      </c>
      <c r="B230" t="s">
        <v>164</v>
      </c>
      <c r="C230" t="s">
        <v>42</v>
      </c>
      <c r="D230">
        <v>30</v>
      </c>
      <c r="E230" t="s">
        <v>81</v>
      </c>
      <c r="F230">
        <v>71</v>
      </c>
      <c r="G230" t="s">
        <v>106</v>
      </c>
      <c r="H230" t="s">
        <v>47</v>
      </c>
      <c r="I230">
        <v>0</v>
      </c>
      <c r="J230">
        <v>0</v>
      </c>
      <c r="K230">
        <v>1</v>
      </c>
      <c r="L230" t="s">
        <v>46</v>
      </c>
      <c r="M230" t="s">
        <v>789</v>
      </c>
      <c r="N230" t="s">
        <v>790</v>
      </c>
      <c r="O230">
        <v>0</v>
      </c>
      <c r="P230">
        <v>0</v>
      </c>
      <c r="Q230">
        <v>0</v>
      </c>
      <c r="S230">
        <v>1</v>
      </c>
      <c r="T230" t="s">
        <v>186</v>
      </c>
      <c r="U230">
        <v>0</v>
      </c>
      <c r="V230" t="s">
        <v>60</v>
      </c>
      <c r="W230">
        <v>2</v>
      </c>
      <c r="X230" t="s">
        <v>216</v>
      </c>
      <c r="Y230">
        <v>0</v>
      </c>
      <c r="Z230" t="s">
        <v>46</v>
      </c>
      <c r="AA230">
        <v>0</v>
      </c>
      <c r="AB230">
        <v>4</v>
      </c>
      <c r="AC230">
        <v>0</v>
      </c>
      <c r="AD230">
        <v>0</v>
      </c>
      <c r="AE230">
        <v>0</v>
      </c>
      <c r="AF230">
        <v>0</v>
      </c>
    </row>
    <row r="231" spans="1:33" x14ac:dyDescent="0.2">
      <c r="A231" t="s">
        <v>76</v>
      </c>
      <c r="B231" t="s">
        <v>41</v>
      </c>
      <c r="C231" t="s">
        <v>42</v>
      </c>
      <c r="D231">
        <v>31</v>
      </c>
      <c r="E231" t="s">
        <v>85</v>
      </c>
      <c r="F231">
        <v>2909</v>
      </c>
      <c r="G231" t="s">
        <v>72</v>
      </c>
      <c r="H231" t="s">
        <v>172</v>
      </c>
      <c r="I231">
        <v>0</v>
      </c>
      <c r="J231">
        <v>0</v>
      </c>
      <c r="K231">
        <v>0</v>
      </c>
      <c r="L231" t="s">
        <v>46</v>
      </c>
      <c r="M231" t="s">
        <v>47</v>
      </c>
      <c r="N231" t="s">
        <v>626</v>
      </c>
      <c r="O231">
        <v>0</v>
      </c>
      <c r="P231">
        <v>0</v>
      </c>
      <c r="Q231">
        <v>0</v>
      </c>
      <c r="S231">
        <v>0</v>
      </c>
      <c r="U231">
        <v>0</v>
      </c>
      <c r="V231" t="s">
        <v>141</v>
      </c>
      <c r="W231">
        <v>2</v>
      </c>
      <c r="X231">
        <v>2</v>
      </c>
      <c r="Y231">
        <v>0</v>
      </c>
      <c r="Z231" t="s">
        <v>46</v>
      </c>
      <c r="AA231">
        <v>0</v>
      </c>
      <c r="AB231">
        <v>3</v>
      </c>
      <c r="AC231">
        <v>0</v>
      </c>
      <c r="AD231">
        <v>1</v>
      </c>
      <c r="AE231">
        <v>0</v>
      </c>
      <c r="AF231">
        <v>0</v>
      </c>
    </row>
    <row r="232" spans="1:33" x14ac:dyDescent="0.2">
      <c r="A232" t="s">
        <v>482</v>
      </c>
      <c r="B232" t="s">
        <v>41</v>
      </c>
      <c r="C232" t="s">
        <v>42</v>
      </c>
      <c r="D232">
        <v>31</v>
      </c>
      <c r="E232" t="s">
        <v>67</v>
      </c>
      <c r="F232">
        <v>2197</v>
      </c>
      <c r="G232" t="s">
        <v>483</v>
      </c>
      <c r="H232" t="s">
        <v>170</v>
      </c>
      <c r="I232">
        <v>0</v>
      </c>
      <c r="J232">
        <v>1</v>
      </c>
      <c r="K232">
        <v>0</v>
      </c>
      <c r="L232" t="s">
        <v>60</v>
      </c>
      <c r="M232" t="s">
        <v>47</v>
      </c>
      <c r="N232" t="s">
        <v>484</v>
      </c>
      <c r="O232">
        <v>0</v>
      </c>
      <c r="P232">
        <v>1</v>
      </c>
      <c r="Q232">
        <v>0</v>
      </c>
      <c r="S232">
        <v>0</v>
      </c>
      <c r="T232">
        <v>0</v>
      </c>
      <c r="U232">
        <v>0</v>
      </c>
      <c r="V232" t="s">
        <v>60</v>
      </c>
      <c r="W232">
        <v>2</v>
      </c>
      <c r="X232">
        <v>1</v>
      </c>
      <c r="Y232">
        <v>4</v>
      </c>
      <c r="Z232" t="s">
        <v>46</v>
      </c>
      <c r="AA232">
        <v>1</v>
      </c>
      <c r="AB232">
        <v>3</v>
      </c>
      <c r="AC232">
        <v>0</v>
      </c>
      <c r="AD232">
        <v>0</v>
      </c>
      <c r="AE232">
        <v>0</v>
      </c>
      <c r="AF232">
        <v>0</v>
      </c>
    </row>
    <row r="233" spans="1:33" x14ac:dyDescent="0.2">
      <c r="A233" t="s">
        <v>191</v>
      </c>
      <c r="B233" t="s">
        <v>41</v>
      </c>
      <c r="C233" t="s">
        <v>42</v>
      </c>
      <c r="D233">
        <v>31</v>
      </c>
      <c r="E233" t="s">
        <v>51</v>
      </c>
      <c r="F233">
        <v>7477</v>
      </c>
      <c r="G233" t="s">
        <v>44</v>
      </c>
      <c r="H233" t="s">
        <v>47</v>
      </c>
      <c r="I233">
        <v>0</v>
      </c>
      <c r="J233">
        <v>0</v>
      </c>
      <c r="K233">
        <v>0</v>
      </c>
      <c r="L233" t="s">
        <v>46</v>
      </c>
      <c r="M233" t="s">
        <v>498</v>
      </c>
      <c r="N233" t="s">
        <v>47</v>
      </c>
      <c r="O233">
        <v>0</v>
      </c>
      <c r="P233">
        <v>0</v>
      </c>
      <c r="Q233">
        <v>1</v>
      </c>
      <c r="R233">
        <v>2917</v>
      </c>
      <c r="S233">
        <v>0</v>
      </c>
      <c r="T233">
        <v>0</v>
      </c>
      <c r="U233">
        <v>21.5</v>
      </c>
      <c r="V233" t="s">
        <v>141</v>
      </c>
      <c r="W233">
        <v>2</v>
      </c>
      <c r="X233">
        <v>0</v>
      </c>
      <c r="Y233">
        <v>0</v>
      </c>
      <c r="Z233" t="s">
        <v>54</v>
      </c>
      <c r="AA233">
        <v>0</v>
      </c>
      <c r="AB233">
        <v>1</v>
      </c>
      <c r="AC233">
        <v>1</v>
      </c>
      <c r="AD233">
        <v>0</v>
      </c>
      <c r="AE233">
        <v>1</v>
      </c>
      <c r="AF233">
        <v>0</v>
      </c>
      <c r="AG233" t="s">
        <v>499</v>
      </c>
    </row>
    <row r="234" spans="1:33" x14ac:dyDescent="0.2">
      <c r="A234" t="s">
        <v>76</v>
      </c>
      <c r="B234" t="s">
        <v>164</v>
      </c>
      <c r="C234" t="s">
        <v>42</v>
      </c>
      <c r="D234">
        <v>31</v>
      </c>
      <c r="E234" t="s">
        <v>43</v>
      </c>
      <c r="F234">
        <v>862</v>
      </c>
      <c r="G234" t="s">
        <v>64</v>
      </c>
      <c r="H234" t="s">
        <v>129</v>
      </c>
      <c r="I234">
        <v>0</v>
      </c>
      <c r="J234">
        <v>0</v>
      </c>
      <c r="K234">
        <v>0</v>
      </c>
      <c r="L234" t="s">
        <v>60</v>
      </c>
      <c r="M234" t="s">
        <v>47</v>
      </c>
      <c r="N234" t="s">
        <v>516</v>
      </c>
      <c r="O234">
        <v>0</v>
      </c>
      <c r="P234">
        <v>0</v>
      </c>
      <c r="Q234">
        <v>0</v>
      </c>
      <c r="S234">
        <v>0</v>
      </c>
      <c r="T234" t="s">
        <v>517</v>
      </c>
      <c r="U234">
        <v>0</v>
      </c>
      <c r="V234" t="s">
        <v>60</v>
      </c>
      <c r="W234">
        <v>2</v>
      </c>
      <c r="X234" t="s">
        <v>216</v>
      </c>
      <c r="Y234">
        <v>2</v>
      </c>
      <c r="Z234" t="s">
        <v>46</v>
      </c>
      <c r="AA234">
        <v>0</v>
      </c>
      <c r="AB234">
        <v>5</v>
      </c>
      <c r="AC234">
        <v>0</v>
      </c>
      <c r="AD234">
        <v>0</v>
      </c>
      <c r="AE234">
        <v>0</v>
      </c>
      <c r="AF234">
        <v>1</v>
      </c>
      <c r="AG234" t="s">
        <v>515</v>
      </c>
    </row>
    <row r="235" spans="1:33" x14ac:dyDescent="0.2">
      <c r="A235" t="s">
        <v>463</v>
      </c>
      <c r="B235" t="s">
        <v>41</v>
      </c>
      <c r="C235" t="s">
        <v>42</v>
      </c>
      <c r="D235">
        <v>31</v>
      </c>
      <c r="E235" t="s">
        <v>63</v>
      </c>
      <c r="F235">
        <v>9208</v>
      </c>
      <c r="G235" t="s">
        <v>56</v>
      </c>
      <c r="H235" t="s">
        <v>93</v>
      </c>
      <c r="I235">
        <v>1</v>
      </c>
      <c r="J235">
        <v>0</v>
      </c>
      <c r="K235">
        <v>1</v>
      </c>
      <c r="L235" t="s">
        <v>46</v>
      </c>
      <c r="M235" t="s">
        <v>476</v>
      </c>
      <c r="N235" t="s">
        <v>280</v>
      </c>
      <c r="O235">
        <v>0</v>
      </c>
      <c r="P235">
        <v>1</v>
      </c>
      <c r="Q235">
        <v>0</v>
      </c>
      <c r="S235">
        <v>1</v>
      </c>
      <c r="T235">
        <v>0</v>
      </c>
      <c r="U235">
        <v>8.5</v>
      </c>
      <c r="V235" t="s">
        <v>60</v>
      </c>
      <c r="W235">
        <v>2</v>
      </c>
      <c r="X235">
        <v>1</v>
      </c>
      <c r="Y235">
        <v>1</v>
      </c>
      <c r="Z235" t="s">
        <v>46</v>
      </c>
      <c r="AA235">
        <v>0</v>
      </c>
      <c r="AB235">
        <v>3</v>
      </c>
      <c r="AC235">
        <v>0</v>
      </c>
      <c r="AD235">
        <v>0</v>
      </c>
      <c r="AE235">
        <v>0</v>
      </c>
      <c r="AF235">
        <v>1</v>
      </c>
      <c r="AG235" t="s">
        <v>477</v>
      </c>
    </row>
    <row r="236" spans="1:33" x14ac:dyDescent="0.2">
      <c r="A236" t="s">
        <v>167</v>
      </c>
      <c r="B236" t="s">
        <v>41</v>
      </c>
      <c r="C236" t="s">
        <v>42</v>
      </c>
      <c r="D236">
        <v>32</v>
      </c>
      <c r="E236" t="s">
        <v>63</v>
      </c>
      <c r="F236">
        <v>6721</v>
      </c>
      <c r="G236" t="s">
        <v>56</v>
      </c>
      <c r="H236" t="s">
        <v>47</v>
      </c>
      <c r="I236">
        <v>0</v>
      </c>
      <c r="J236">
        <v>0</v>
      </c>
      <c r="K236">
        <v>0</v>
      </c>
      <c r="L236" t="s">
        <v>46</v>
      </c>
      <c r="M236" t="s">
        <v>47</v>
      </c>
      <c r="N236" t="s">
        <v>47</v>
      </c>
      <c r="O236">
        <v>2</v>
      </c>
      <c r="P236">
        <v>0</v>
      </c>
      <c r="Q236">
        <v>1</v>
      </c>
      <c r="R236">
        <v>868</v>
      </c>
      <c r="S236">
        <v>0</v>
      </c>
      <c r="T236">
        <v>1</v>
      </c>
      <c r="U236">
        <v>0</v>
      </c>
      <c r="V236" t="s">
        <v>46</v>
      </c>
      <c r="W236">
        <v>2</v>
      </c>
      <c r="X236">
        <v>1</v>
      </c>
      <c r="Y236">
        <v>0</v>
      </c>
      <c r="Z236" t="s">
        <v>49</v>
      </c>
      <c r="AA236">
        <v>0</v>
      </c>
      <c r="AB236">
        <v>3</v>
      </c>
      <c r="AC236">
        <v>0</v>
      </c>
      <c r="AD236">
        <v>0</v>
      </c>
      <c r="AE236">
        <v>0</v>
      </c>
      <c r="AF236">
        <v>0</v>
      </c>
      <c r="AG236" t="s">
        <v>402</v>
      </c>
    </row>
    <row r="237" spans="1:33" x14ac:dyDescent="0.2">
      <c r="A237" t="s">
        <v>158</v>
      </c>
      <c r="B237" t="s">
        <v>41</v>
      </c>
      <c r="C237" t="s">
        <v>42</v>
      </c>
      <c r="D237">
        <v>32</v>
      </c>
      <c r="E237" t="s">
        <v>67</v>
      </c>
      <c r="F237">
        <v>4926</v>
      </c>
      <c r="G237" t="s">
        <v>92</v>
      </c>
      <c r="H237" t="s">
        <v>47</v>
      </c>
      <c r="I237">
        <v>1</v>
      </c>
      <c r="J237">
        <v>0</v>
      </c>
      <c r="K237">
        <v>1</v>
      </c>
      <c r="L237" t="s">
        <v>46</v>
      </c>
      <c r="M237" t="s">
        <v>47</v>
      </c>
      <c r="N237" t="s">
        <v>485</v>
      </c>
      <c r="O237">
        <v>0</v>
      </c>
      <c r="P237">
        <v>0</v>
      </c>
      <c r="Q237">
        <v>0</v>
      </c>
      <c r="S237">
        <v>0</v>
      </c>
      <c r="T237">
        <v>2</v>
      </c>
      <c r="U237">
        <v>0</v>
      </c>
      <c r="V237" t="s">
        <v>141</v>
      </c>
      <c r="W237">
        <v>2</v>
      </c>
      <c r="X237">
        <v>1</v>
      </c>
      <c r="Y237">
        <v>0</v>
      </c>
      <c r="Z237" t="s">
        <v>46</v>
      </c>
      <c r="AA237">
        <v>0</v>
      </c>
      <c r="AB237">
        <v>3</v>
      </c>
      <c r="AC237">
        <v>0</v>
      </c>
      <c r="AD237">
        <v>0</v>
      </c>
      <c r="AE237">
        <v>0</v>
      </c>
      <c r="AF237">
        <v>0</v>
      </c>
    </row>
    <row r="238" spans="1:33" x14ac:dyDescent="0.2">
      <c r="A238" t="s">
        <v>191</v>
      </c>
      <c r="B238" t="s">
        <v>41</v>
      </c>
      <c r="C238" t="s">
        <v>42</v>
      </c>
      <c r="D238">
        <v>32</v>
      </c>
      <c r="E238" t="s">
        <v>51</v>
      </c>
      <c r="F238">
        <v>45</v>
      </c>
      <c r="G238" t="s">
        <v>44</v>
      </c>
      <c r="H238" t="s">
        <v>56</v>
      </c>
      <c r="I238">
        <v>1</v>
      </c>
      <c r="J238">
        <v>0</v>
      </c>
      <c r="K238">
        <v>1</v>
      </c>
      <c r="L238" t="s">
        <v>46</v>
      </c>
      <c r="M238" t="s">
        <v>500</v>
      </c>
      <c r="N238" t="s">
        <v>501</v>
      </c>
      <c r="O238">
        <v>0</v>
      </c>
      <c r="P238">
        <v>0</v>
      </c>
      <c r="Q238">
        <v>0</v>
      </c>
      <c r="S238">
        <v>1</v>
      </c>
      <c r="T238">
        <v>3</v>
      </c>
      <c r="U238">
        <v>0</v>
      </c>
      <c r="V238" t="s">
        <v>60</v>
      </c>
      <c r="W238">
        <v>2</v>
      </c>
      <c r="X238">
        <v>1</v>
      </c>
      <c r="Y238">
        <v>1</v>
      </c>
      <c r="Z238" t="s">
        <v>46</v>
      </c>
      <c r="AA238">
        <v>0</v>
      </c>
      <c r="AB238">
        <v>4</v>
      </c>
      <c r="AC238">
        <v>0</v>
      </c>
      <c r="AD238">
        <v>0</v>
      </c>
      <c r="AE238">
        <v>0</v>
      </c>
      <c r="AF238">
        <v>0</v>
      </c>
    </row>
    <row r="239" spans="1:33" x14ac:dyDescent="0.2">
      <c r="A239" t="s">
        <v>76</v>
      </c>
      <c r="B239" t="s">
        <v>164</v>
      </c>
      <c r="C239" t="s">
        <v>42</v>
      </c>
      <c r="D239">
        <v>32</v>
      </c>
      <c r="E239" t="s">
        <v>43</v>
      </c>
      <c r="F239">
        <v>328</v>
      </c>
      <c r="G239" t="s">
        <v>78</v>
      </c>
      <c r="H239" t="s">
        <v>47</v>
      </c>
      <c r="I239">
        <v>0</v>
      </c>
      <c r="J239">
        <v>0</v>
      </c>
      <c r="K239">
        <v>1</v>
      </c>
      <c r="L239" t="s">
        <v>53</v>
      </c>
      <c r="M239" t="s">
        <v>47</v>
      </c>
      <c r="N239" t="s">
        <v>514</v>
      </c>
      <c r="O239">
        <v>0</v>
      </c>
      <c r="P239">
        <v>0</v>
      </c>
      <c r="Q239">
        <v>0</v>
      </c>
      <c r="S239">
        <v>0</v>
      </c>
      <c r="T239" t="s">
        <v>54</v>
      </c>
      <c r="U239">
        <v>0</v>
      </c>
      <c r="V239" t="s">
        <v>60</v>
      </c>
      <c r="W239">
        <v>2</v>
      </c>
      <c r="X239" t="s">
        <v>216</v>
      </c>
      <c r="Y239">
        <v>0</v>
      </c>
      <c r="Z239" t="s">
        <v>46</v>
      </c>
      <c r="AA239">
        <v>0</v>
      </c>
      <c r="AB239">
        <v>5</v>
      </c>
      <c r="AC239">
        <v>0</v>
      </c>
      <c r="AD239">
        <v>0</v>
      </c>
      <c r="AE239">
        <v>0</v>
      </c>
      <c r="AF239">
        <v>1</v>
      </c>
      <c r="AG239" t="s">
        <v>515</v>
      </c>
    </row>
    <row r="240" spans="1:33" x14ac:dyDescent="0.2">
      <c r="A240" t="s">
        <v>76</v>
      </c>
      <c r="B240" t="s">
        <v>41</v>
      </c>
      <c r="C240" t="s">
        <v>42</v>
      </c>
      <c r="D240">
        <v>32</v>
      </c>
      <c r="E240" t="s">
        <v>85</v>
      </c>
      <c r="F240">
        <v>868</v>
      </c>
      <c r="G240" t="s">
        <v>106</v>
      </c>
      <c r="H240" t="s">
        <v>47</v>
      </c>
      <c r="I240">
        <v>1</v>
      </c>
      <c r="J240">
        <v>1</v>
      </c>
      <c r="K240">
        <v>1</v>
      </c>
      <c r="L240" t="s">
        <v>60</v>
      </c>
      <c r="M240" t="s">
        <v>47</v>
      </c>
      <c r="N240" t="s">
        <v>57</v>
      </c>
      <c r="O240">
        <v>0</v>
      </c>
      <c r="P240">
        <v>0</v>
      </c>
      <c r="Q240">
        <v>0</v>
      </c>
      <c r="S240">
        <v>0</v>
      </c>
      <c r="T240">
        <v>0</v>
      </c>
      <c r="U240">
        <v>0</v>
      </c>
      <c r="V240" t="s">
        <v>141</v>
      </c>
      <c r="W240">
        <v>0</v>
      </c>
      <c r="X240">
        <v>2</v>
      </c>
      <c r="Y240">
        <v>0</v>
      </c>
      <c r="Z240" t="s">
        <v>46</v>
      </c>
      <c r="AA240">
        <v>0</v>
      </c>
      <c r="AB240">
        <v>4</v>
      </c>
      <c r="AC240">
        <v>0</v>
      </c>
      <c r="AD240">
        <v>0</v>
      </c>
      <c r="AE240">
        <v>0</v>
      </c>
      <c r="AF240">
        <v>0</v>
      </c>
    </row>
    <row r="241" spans="1:33" x14ac:dyDescent="0.2">
      <c r="A241" t="s">
        <v>80</v>
      </c>
      <c r="B241" t="s">
        <v>164</v>
      </c>
      <c r="C241" t="s">
        <v>42</v>
      </c>
      <c r="D241">
        <v>32</v>
      </c>
      <c r="E241" t="s">
        <v>81</v>
      </c>
      <c r="F241">
        <v>1747</v>
      </c>
      <c r="G241" t="s">
        <v>71</v>
      </c>
      <c r="H241" t="s">
        <v>47</v>
      </c>
      <c r="I241">
        <v>0</v>
      </c>
      <c r="J241">
        <v>0</v>
      </c>
      <c r="K241">
        <v>0</v>
      </c>
      <c r="L241" t="s">
        <v>46</v>
      </c>
      <c r="M241" t="s">
        <v>47</v>
      </c>
      <c r="N241" t="s">
        <v>502</v>
      </c>
      <c r="O241">
        <v>0</v>
      </c>
      <c r="P241">
        <v>0</v>
      </c>
      <c r="Q241">
        <v>0</v>
      </c>
      <c r="S241">
        <v>0</v>
      </c>
      <c r="T241" t="s">
        <v>46</v>
      </c>
      <c r="U241">
        <v>4.5</v>
      </c>
      <c r="V241" t="s">
        <v>60</v>
      </c>
      <c r="W241">
        <v>2</v>
      </c>
      <c r="X241" t="s">
        <v>471</v>
      </c>
      <c r="Y241">
        <v>0</v>
      </c>
      <c r="Z241" t="s">
        <v>46</v>
      </c>
      <c r="AA241">
        <v>0</v>
      </c>
      <c r="AB241">
        <v>3</v>
      </c>
      <c r="AC241">
        <v>0</v>
      </c>
      <c r="AD241">
        <v>0</v>
      </c>
      <c r="AE241">
        <v>0</v>
      </c>
      <c r="AF241">
        <v>0</v>
      </c>
      <c r="AG241" t="s">
        <v>788</v>
      </c>
    </row>
    <row r="242" spans="1:33" x14ac:dyDescent="0.2">
      <c r="A242" t="s">
        <v>277</v>
      </c>
      <c r="B242" t="s">
        <v>41</v>
      </c>
      <c r="C242" t="s">
        <v>42</v>
      </c>
      <c r="D242">
        <v>33</v>
      </c>
      <c r="E242" t="s">
        <v>43</v>
      </c>
      <c r="F242">
        <v>1018</v>
      </c>
      <c r="G242" t="s">
        <v>204</v>
      </c>
      <c r="H242" t="s">
        <v>47</v>
      </c>
      <c r="I242">
        <v>0</v>
      </c>
      <c r="J242">
        <v>0</v>
      </c>
      <c r="K242">
        <v>0</v>
      </c>
      <c r="L242" t="s">
        <v>46</v>
      </c>
      <c r="M242" t="s">
        <v>47</v>
      </c>
      <c r="N242" t="s">
        <v>492</v>
      </c>
      <c r="O242">
        <v>0</v>
      </c>
      <c r="P242">
        <v>1</v>
      </c>
      <c r="Q242">
        <v>0</v>
      </c>
      <c r="S242">
        <v>1</v>
      </c>
      <c r="U242">
        <v>13</v>
      </c>
      <c r="V242" t="s">
        <v>60</v>
      </c>
      <c r="W242">
        <v>3</v>
      </c>
      <c r="X242">
        <v>2</v>
      </c>
      <c r="Y242">
        <v>2</v>
      </c>
      <c r="Z242" t="s">
        <v>46</v>
      </c>
      <c r="AA242">
        <v>1</v>
      </c>
      <c r="AB242">
        <v>4</v>
      </c>
      <c r="AC242">
        <v>0</v>
      </c>
      <c r="AD242">
        <v>1</v>
      </c>
      <c r="AE242">
        <v>0</v>
      </c>
      <c r="AF242">
        <v>1</v>
      </c>
    </row>
    <row r="243" spans="1:33" x14ac:dyDescent="0.2">
      <c r="A243" t="s">
        <v>167</v>
      </c>
      <c r="B243" t="s">
        <v>41</v>
      </c>
      <c r="C243" t="s">
        <v>42</v>
      </c>
      <c r="D243">
        <v>33</v>
      </c>
      <c r="E243" t="s">
        <v>63</v>
      </c>
      <c r="F243">
        <v>1501</v>
      </c>
      <c r="G243" t="s">
        <v>489</v>
      </c>
      <c r="H243" t="s">
        <v>57</v>
      </c>
      <c r="I243">
        <v>0</v>
      </c>
      <c r="J243">
        <v>1</v>
      </c>
      <c r="K243">
        <v>1</v>
      </c>
      <c r="L243" t="s">
        <v>46</v>
      </c>
      <c r="M243" t="s">
        <v>490</v>
      </c>
      <c r="N243" t="s">
        <v>491</v>
      </c>
      <c r="O243">
        <v>0</v>
      </c>
      <c r="P243">
        <v>1</v>
      </c>
      <c r="Q243">
        <v>0</v>
      </c>
      <c r="S243">
        <v>1</v>
      </c>
      <c r="U243">
        <v>14</v>
      </c>
      <c r="V243" t="s">
        <v>60</v>
      </c>
      <c r="W243">
        <v>3</v>
      </c>
      <c r="X243">
        <v>2</v>
      </c>
      <c r="Y243">
        <v>0</v>
      </c>
      <c r="Z243" t="s">
        <v>60</v>
      </c>
      <c r="AA243">
        <v>0</v>
      </c>
      <c r="AB243">
        <v>5</v>
      </c>
      <c r="AC243">
        <v>0</v>
      </c>
      <c r="AD243">
        <v>0</v>
      </c>
      <c r="AE243">
        <v>0</v>
      </c>
      <c r="AF243">
        <v>1</v>
      </c>
    </row>
    <row r="244" spans="1:33" x14ac:dyDescent="0.2">
      <c r="A244" t="s">
        <v>436</v>
      </c>
      <c r="B244" t="s">
        <v>41</v>
      </c>
      <c r="C244" t="s">
        <v>42</v>
      </c>
      <c r="D244">
        <v>33</v>
      </c>
      <c r="E244" t="s">
        <v>67</v>
      </c>
      <c r="F244">
        <v>3940</v>
      </c>
      <c r="G244" t="s">
        <v>68</v>
      </c>
      <c r="H244" t="s">
        <v>87</v>
      </c>
      <c r="I244">
        <v>0</v>
      </c>
      <c r="J244">
        <v>1</v>
      </c>
      <c r="K244">
        <v>1</v>
      </c>
      <c r="L244" t="s">
        <v>49</v>
      </c>
      <c r="M244" t="s">
        <v>493</v>
      </c>
      <c r="N244" t="s">
        <v>494</v>
      </c>
      <c r="O244">
        <v>0</v>
      </c>
      <c r="P244">
        <v>0</v>
      </c>
      <c r="Q244">
        <v>0</v>
      </c>
      <c r="S244">
        <v>0</v>
      </c>
      <c r="T244">
        <v>3</v>
      </c>
      <c r="U244">
        <v>0</v>
      </c>
      <c r="V244" t="s">
        <v>60</v>
      </c>
      <c r="W244">
        <v>2</v>
      </c>
      <c r="X244">
        <v>1</v>
      </c>
      <c r="Y244">
        <v>2</v>
      </c>
      <c r="Z244" t="s">
        <v>46</v>
      </c>
      <c r="AA244">
        <v>0</v>
      </c>
      <c r="AB244">
        <v>4</v>
      </c>
      <c r="AC244">
        <v>0</v>
      </c>
      <c r="AD244">
        <v>0</v>
      </c>
      <c r="AE244">
        <v>0</v>
      </c>
      <c r="AF244">
        <v>1</v>
      </c>
    </row>
    <row r="245" spans="1:33" x14ac:dyDescent="0.2">
      <c r="A245" t="s">
        <v>191</v>
      </c>
      <c r="B245" t="s">
        <v>41</v>
      </c>
      <c r="C245" t="s">
        <v>42</v>
      </c>
      <c r="D245">
        <v>33</v>
      </c>
      <c r="E245" t="s">
        <v>51</v>
      </c>
      <c r="F245">
        <v>910</v>
      </c>
      <c r="G245" t="s">
        <v>64</v>
      </c>
      <c r="H245" t="s">
        <v>427</v>
      </c>
      <c r="I245">
        <v>0</v>
      </c>
      <c r="J245">
        <v>0</v>
      </c>
      <c r="K245">
        <v>1</v>
      </c>
      <c r="L245" t="s">
        <v>46</v>
      </c>
      <c r="M245" t="s">
        <v>495</v>
      </c>
      <c r="N245" t="s">
        <v>496</v>
      </c>
      <c r="O245">
        <v>0</v>
      </c>
      <c r="P245">
        <v>0</v>
      </c>
      <c r="Q245">
        <v>0</v>
      </c>
      <c r="S245">
        <v>1</v>
      </c>
      <c r="T245">
        <v>3</v>
      </c>
      <c r="U245">
        <v>9.6</v>
      </c>
      <c r="V245" t="s">
        <v>60</v>
      </c>
      <c r="W245">
        <v>3</v>
      </c>
      <c r="X245">
        <v>1</v>
      </c>
      <c r="Y245">
        <v>1</v>
      </c>
      <c r="Z245" t="s">
        <v>46</v>
      </c>
      <c r="AA245">
        <v>0</v>
      </c>
      <c r="AB245">
        <v>2</v>
      </c>
      <c r="AC245">
        <v>0</v>
      </c>
      <c r="AD245">
        <v>0</v>
      </c>
      <c r="AE245">
        <v>1</v>
      </c>
      <c r="AF245">
        <v>0</v>
      </c>
      <c r="AG245" t="s">
        <v>497</v>
      </c>
    </row>
    <row r="246" spans="1:33" x14ac:dyDescent="0.2">
      <c r="A246" t="s">
        <v>434</v>
      </c>
      <c r="B246" t="s">
        <v>41</v>
      </c>
      <c r="C246" t="s">
        <v>42</v>
      </c>
      <c r="D246">
        <v>33</v>
      </c>
      <c r="E246" t="s">
        <v>85</v>
      </c>
      <c r="F246">
        <v>461</v>
      </c>
      <c r="G246" t="s">
        <v>106</v>
      </c>
      <c r="H246" t="s">
        <v>93</v>
      </c>
      <c r="I246">
        <v>1</v>
      </c>
      <c r="J246">
        <v>0</v>
      </c>
      <c r="K246">
        <v>1</v>
      </c>
      <c r="L246" t="s">
        <v>46</v>
      </c>
      <c r="M246" t="s">
        <v>47</v>
      </c>
      <c r="N246" t="s">
        <v>627</v>
      </c>
      <c r="O246">
        <v>0</v>
      </c>
      <c r="P246">
        <v>0</v>
      </c>
      <c r="Q246">
        <v>0</v>
      </c>
      <c r="S246">
        <v>1</v>
      </c>
      <c r="T246">
        <v>3</v>
      </c>
      <c r="U246">
        <v>0</v>
      </c>
      <c r="V246" t="s">
        <v>60</v>
      </c>
      <c r="W246">
        <v>2</v>
      </c>
      <c r="X246">
        <v>2</v>
      </c>
      <c r="Y246">
        <v>0</v>
      </c>
      <c r="Z246" t="s">
        <v>46</v>
      </c>
      <c r="AA246">
        <v>1</v>
      </c>
      <c r="AB246">
        <v>5</v>
      </c>
      <c r="AC246">
        <v>0</v>
      </c>
      <c r="AD246">
        <v>0</v>
      </c>
      <c r="AE246">
        <v>0</v>
      </c>
      <c r="AF246">
        <v>1</v>
      </c>
    </row>
    <row r="247" spans="1:33" x14ac:dyDescent="0.2">
      <c r="A247" t="s">
        <v>80</v>
      </c>
      <c r="B247" t="s">
        <v>164</v>
      </c>
      <c r="C247" t="s">
        <v>42</v>
      </c>
      <c r="D247">
        <v>33</v>
      </c>
      <c r="E247" t="s">
        <v>81</v>
      </c>
      <c r="F247">
        <v>1555</v>
      </c>
      <c r="G247" t="s">
        <v>71</v>
      </c>
      <c r="H247" t="s">
        <v>69</v>
      </c>
      <c r="I247">
        <v>0</v>
      </c>
      <c r="J247">
        <v>0</v>
      </c>
      <c r="K247">
        <v>1</v>
      </c>
      <c r="L247" t="s">
        <v>46</v>
      </c>
      <c r="M247" t="s">
        <v>787</v>
      </c>
      <c r="N247" t="s">
        <v>706</v>
      </c>
      <c r="O247">
        <v>0</v>
      </c>
      <c r="P247">
        <v>1</v>
      </c>
      <c r="Q247">
        <v>0</v>
      </c>
      <c r="S247">
        <v>0</v>
      </c>
      <c r="T247" t="s">
        <v>186</v>
      </c>
      <c r="U247">
        <v>0</v>
      </c>
      <c r="V247" t="s">
        <v>46</v>
      </c>
      <c r="W247">
        <v>2</v>
      </c>
      <c r="X247" t="s">
        <v>46</v>
      </c>
      <c r="Y247">
        <v>0</v>
      </c>
      <c r="Z247" t="s">
        <v>46</v>
      </c>
      <c r="AA247">
        <v>0</v>
      </c>
      <c r="AB247">
        <v>5</v>
      </c>
      <c r="AC247">
        <v>0</v>
      </c>
      <c r="AD247">
        <v>0</v>
      </c>
      <c r="AE247">
        <v>0</v>
      </c>
      <c r="AF247">
        <v>0</v>
      </c>
    </row>
    <row r="248" spans="1:33" x14ac:dyDescent="0.2">
      <c r="A248" t="s">
        <v>167</v>
      </c>
      <c r="B248" t="s">
        <v>41</v>
      </c>
      <c r="C248" t="s">
        <v>42</v>
      </c>
      <c r="D248">
        <v>34</v>
      </c>
      <c r="E248" t="s">
        <v>63</v>
      </c>
      <c r="F248">
        <v>7477</v>
      </c>
      <c r="G248" t="s">
        <v>44</v>
      </c>
      <c r="H248" t="s">
        <v>47</v>
      </c>
      <c r="I248">
        <v>0</v>
      </c>
      <c r="J248">
        <v>0</v>
      </c>
      <c r="K248">
        <v>0</v>
      </c>
      <c r="L248" t="s">
        <v>46</v>
      </c>
      <c r="M248" t="s">
        <v>47</v>
      </c>
      <c r="N248" t="s">
        <v>47</v>
      </c>
      <c r="O248">
        <v>0</v>
      </c>
      <c r="P248">
        <v>0</v>
      </c>
      <c r="Q248">
        <v>0</v>
      </c>
      <c r="S248">
        <v>0</v>
      </c>
      <c r="T248">
        <v>0</v>
      </c>
      <c r="U248">
        <v>0</v>
      </c>
      <c r="V248" t="s">
        <v>46</v>
      </c>
      <c r="W248">
        <v>1</v>
      </c>
      <c r="X248">
        <v>0</v>
      </c>
      <c r="Y248">
        <v>0</v>
      </c>
      <c r="Z248" t="s">
        <v>54</v>
      </c>
      <c r="AA248">
        <v>0</v>
      </c>
      <c r="AB248">
        <v>1</v>
      </c>
      <c r="AC248">
        <v>0</v>
      </c>
      <c r="AD248">
        <v>0</v>
      </c>
      <c r="AE248">
        <v>0</v>
      </c>
      <c r="AF248">
        <v>0</v>
      </c>
    </row>
    <row r="249" spans="1:33" x14ac:dyDescent="0.2">
      <c r="A249" t="s">
        <v>436</v>
      </c>
      <c r="B249" t="s">
        <v>41</v>
      </c>
      <c r="C249" t="s">
        <v>42</v>
      </c>
      <c r="D249">
        <v>34</v>
      </c>
      <c r="E249" t="s">
        <v>67</v>
      </c>
      <c r="F249">
        <v>6956</v>
      </c>
      <c r="G249" t="s">
        <v>71</v>
      </c>
      <c r="H249" t="s">
        <v>502</v>
      </c>
      <c r="I249">
        <v>0</v>
      </c>
      <c r="J249">
        <v>0</v>
      </c>
      <c r="K249">
        <v>1</v>
      </c>
      <c r="L249" t="s">
        <v>46</v>
      </c>
      <c r="M249" t="s">
        <v>503</v>
      </c>
      <c r="N249" t="s">
        <v>504</v>
      </c>
      <c r="O249">
        <v>0</v>
      </c>
      <c r="P249">
        <v>0</v>
      </c>
      <c r="Q249">
        <v>1</v>
      </c>
      <c r="R249">
        <v>7477</v>
      </c>
      <c r="S249">
        <v>0</v>
      </c>
      <c r="T249">
        <v>1</v>
      </c>
      <c r="U249">
        <v>0</v>
      </c>
      <c r="V249" t="s">
        <v>141</v>
      </c>
      <c r="W249">
        <v>1</v>
      </c>
      <c r="X249">
        <v>2</v>
      </c>
      <c r="Y249">
        <v>1</v>
      </c>
      <c r="Z249" t="s">
        <v>46</v>
      </c>
      <c r="AA249">
        <v>0</v>
      </c>
      <c r="AB249">
        <v>4</v>
      </c>
      <c r="AC249">
        <v>0</v>
      </c>
      <c r="AD249">
        <v>0</v>
      </c>
      <c r="AE249">
        <v>0</v>
      </c>
      <c r="AF249">
        <v>0</v>
      </c>
    </row>
    <row r="250" spans="1:33" x14ac:dyDescent="0.2">
      <c r="A250" t="s">
        <v>277</v>
      </c>
      <c r="B250" t="s">
        <v>41</v>
      </c>
      <c r="C250" t="s">
        <v>42</v>
      </c>
      <c r="D250">
        <v>34</v>
      </c>
      <c r="E250" t="s">
        <v>43</v>
      </c>
      <c r="F250">
        <v>5484</v>
      </c>
      <c r="G250" t="s">
        <v>56</v>
      </c>
      <c r="H250" t="s">
        <v>96</v>
      </c>
      <c r="I250">
        <v>0</v>
      </c>
      <c r="J250">
        <v>0</v>
      </c>
      <c r="K250">
        <v>0</v>
      </c>
      <c r="L250" t="s">
        <v>46</v>
      </c>
      <c r="M250" t="s">
        <v>505</v>
      </c>
      <c r="N250" t="s">
        <v>506</v>
      </c>
      <c r="O250">
        <v>0</v>
      </c>
      <c r="P250">
        <v>1</v>
      </c>
      <c r="Q250">
        <v>0</v>
      </c>
      <c r="S250">
        <v>1</v>
      </c>
      <c r="T250">
        <v>0</v>
      </c>
      <c r="U250">
        <v>15.7</v>
      </c>
      <c r="V250" t="s">
        <v>60</v>
      </c>
      <c r="W250">
        <v>0</v>
      </c>
      <c r="X250">
        <v>1</v>
      </c>
      <c r="Y250">
        <v>1</v>
      </c>
      <c r="Z250" t="s">
        <v>46</v>
      </c>
      <c r="AA250">
        <v>0</v>
      </c>
      <c r="AB250">
        <v>3</v>
      </c>
      <c r="AC250">
        <v>0</v>
      </c>
      <c r="AD250">
        <v>0</v>
      </c>
      <c r="AE250">
        <v>0</v>
      </c>
      <c r="AF250">
        <v>1</v>
      </c>
    </row>
    <row r="251" spans="1:33" x14ac:dyDescent="0.2">
      <c r="A251" t="s">
        <v>229</v>
      </c>
      <c r="B251" t="s">
        <v>41</v>
      </c>
      <c r="C251" t="s">
        <v>42</v>
      </c>
      <c r="D251">
        <v>34</v>
      </c>
      <c r="E251" t="s">
        <v>51</v>
      </c>
      <c r="F251">
        <v>7477</v>
      </c>
      <c r="G251" t="s">
        <v>44</v>
      </c>
      <c r="H251" t="s">
        <v>47</v>
      </c>
      <c r="I251">
        <v>0</v>
      </c>
      <c r="J251">
        <v>0</v>
      </c>
      <c r="K251">
        <v>0</v>
      </c>
      <c r="L251" t="s">
        <v>46</v>
      </c>
      <c r="M251" t="s">
        <v>47</v>
      </c>
      <c r="N251" t="s">
        <v>47</v>
      </c>
      <c r="O251">
        <v>0</v>
      </c>
      <c r="P251">
        <v>0</v>
      </c>
      <c r="Q251">
        <v>0</v>
      </c>
      <c r="S251">
        <v>0</v>
      </c>
      <c r="T251">
        <v>1</v>
      </c>
      <c r="U251">
        <v>0</v>
      </c>
      <c r="V251" t="s">
        <v>46</v>
      </c>
      <c r="W251">
        <v>2</v>
      </c>
      <c r="X251">
        <v>2</v>
      </c>
      <c r="Y251">
        <v>0</v>
      </c>
      <c r="Z251" t="s">
        <v>60</v>
      </c>
      <c r="AA251">
        <v>0</v>
      </c>
      <c r="AB251">
        <v>3</v>
      </c>
      <c r="AC251">
        <v>0</v>
      </c>
      <c r="AD251">
        <v>0</v>
      </c>
      <c r="AE251">
        <v>0</v>
      </c>
      <c r="AF251">
        <v>1</v>
      </c>
      <c r="AG251" t="s">
        <v>507</v>
      </c>
    </row>
    <row r="252" spans="1:33" x14ac:dyDescent="0.2">
      <c r="A252" t="s">
        <v>97</v>
      </c>
      <c r="B252" t="s">
        <v>41</v>
      </c>
      <c r="C252" t="s">
        <v>42</v>
      </c>
      <c r="D252">
        <v>34</v>
      </c>
      <c r="E252" t="s">
        <v>85</v>
      </c>
      <c r="F252">
        <v>9208</v>
      </c>
      <c r="G252" t="s">
        <v>56</v>
      </c>
      <c r="H252" t="s">
        <v>93</v>
      </c>
      <c r="I252">
        <v>1</v>
      </c>
      <c r="J252">
        <v>1</v>
      </c>
      <c r="K252">
        <v>1</v>
      </c>
      <c r="L252" t="s">
        <v>46</v>
      </c>
      <c r="M252" t="s">
        <v>47</v>
      </c>
      <c r="N252" t="s">
        <v>628</v>
      </c>
      <c r="O252">
        <v>0</v>
      </c>
      <c r="P252">
        <v>0</v>
      </c>
      <c r="Q252">
        <v>0</v>
      </c>
      <c r="S252">
        <v>1</v>
      </c>
      <c r="T252">
        <v>0</v>
      </c>
      <c r="U252">
        <v>0</v>
      </c>
      <c r="V252" t="s">
        <v>49</v>
      </c>
      <c r="W252">
        <v>1</v>
      </c>
      <c r="X252">
        <v>1</v>
      </c>
      <c r="Y252">
        <v>0</v>
      </c>
      <c r="Z252" t="s">
        <v>46</v>
      </c>
      <c r="AA252">
        <v>0</v>
      </c>
      <c r="AB252">
        <v>3</v>
      </c>
      <c r="AC252">
        <v>1</v>
      </c>
      <c r="AD252">
        <v>1</v>
      </c>
      <c r="AE252">
        <v>0</v>
      </c>
      <c r="AF252">
        <v>0</v>
      </c>
    </row>
    <row r="253" spans="1:33" x14ac:dyDescent="0.2">
      <c r="A253" t="s">
        <v>436</v>
      </c>
      <c r="B253" t="s">
        <v>41</v>
      </c>
      <c r="C253" t="s">
        <v>42</v>
      </c>
      <c r="D253">
        <v>35</v>
      </c>
      <c r="E253" t="s">
        <v>67</v>
      </c>
      <c r="F253">
        <v>1747</v>
      </c>
      <c r="G253" t="s">
        <v>71</v>
      </c>
      <c r="H253" t="s">
        <v>47</v>
      </c>
      <c r="I253">
        <v>0</v>
      </c>
      <c r="J253">
        <v>0</v>
      </c>
      <c r="K253">
        <v>0</v>
      </c>
      <c r="L253" t="s">
        <v>46</v>
      </c>
      <c r="M253" t="s">
        <v>508</v>
      </c>
      <c r="N253" t="s">
        <v>309</v>
      </c>
      <c r="O253">
        <v>0</v>
      </c>
      <c r="P253">
        <v>0</v>
      </c>
      <c r="Q253">
        <v>0</v>
      </c>
      <c r="S253">
        <v>0</v>
      </c>
      <c r="T253">
        <v>0</v>
      </c>
      <c r="U253">
        <v>0</v>
      </c>
      <c r="V253" t="s">
        <v>60</v>
      </c>
      <c r="W253">
        <v>3</v>
      </c>
      <c r="X253">
        <v>2</v>
      </c>
      <c r="Y253">
        <v>1</v>
      </c>
      <c r="Z253" t="s">
        <v>46</v>
      </c>
      <c r="AA253">
        <v>1</v>
      </c>
      <c r="AB253">
        <v>5</v>
      </c>
      <c r="AC253">
        <v>0</v>
      </c>
      <c r="AD253">
        <v>0</v>
      </c>
      <c r="AE253">
        <v>0</v>
      </c>
      <c r="AF253">
        <v>1</v>
      </c>
      <c r="AG253" t="s">
        <v>509</v>
      </c>
    </row>
    <row r="254" spans="1:33" x14ac:dyDescent="0.2">
      <c r="A254" t="s">
        <v>277</v>
      </c>
      <c r="B254" t="s">
        <v>41</v>
      </c>
      <c r="C254" t="s">
        <v>42</v>
      </c>
      <c r="D254">
        <v>35</v>
      </c>
      <c r="E254" t="s">
        <v>43</v>
      </c>
      <c r="F254">
        <v>5402</v>
      </c>
      <c r="G254" t="s">
        <v>56</v>
      </c>
      <c r="H254" t="s">
        <v>47</v>
      </c>
      <c r="I254">
        <v>0</v>
      </c>
      <c r="J254">
        <v>0</v>
      </c>
      <c r="K254">
        <v>0</v>
      </c>
      <c r="L254" t="s">
        <v>46</v>
      </c>
      <c r="M254" t="s">
        <v>510</v>
      </c>
      <c r="N254" t="s">
        <v>511</v>
      </c>
      <c r="O254">
        <v>0</v>
      </c>
      <c r="P254">
        <v>1</v>
      </c>
      <c r="Q254">
        <v>0</v>
      </c>
      <c r="S254">
        <v>0</v>
      </c>
      <c r="T254">
        <v>1</v>
      </c>
      <c r="U254">
        <v>30.7</v>
      </c>
      <c r="V254" t="s">
        <v>46</v>
      </c>
      <c r="W254">
        <v>1</v>
      </c>
      <c r="X254">
        <v>1</v>
      </c>
      <c r="Y254">
        <v>0</v>
      </c>
      <c r="Z254" t="s">
        <v>181</v>
      </c>
      <c r="AA254">
        <v>0</v>
      </c>
      <c r="AB254">
        <v>4</v>
      </c>
      <c r="AC254">
        <v>1</v>
      </c>
      <c r="AD254">
        <v>0</v>
      </c>
      <c r="AE254">
        <v>1</v>
      </c>
      <c r="AF254">
        <v>0</v>
      </c>
    </row>
    <row r="255" spans="1:33" x14ac:dyDescent="0.2">
      <c r="A255" t="s">
        <v>167</v>
      </c>
      <c r="B255" t="s">
        <v>41</v>
      </c>
      <c r="C255" t="s">
        <v>42</v>
      </c>
      <c r="D255">
        <v>35</v>
      </c>
      <c r="E255" t="s">
        <v>63</v>
      </c>
      <c r="F255">
        <v>9119</v>
      </c>
      <c r="G255" t="s">
        <v>44</v>
      </c>
      <c r="H255" t="s">
        <v>47</v>
      </c>
      <c r="I255">
        <v>0</v>
      </c>
      <c r="J255">
        <v>0</v>
      </c>
      <c r="K255">
        <v>0</v>
      </c>
      <c r="L255" t="s">
        <v>46</v>
      </c>
      <c r="M255" t="s">
        <v>47</v>
      </c>
      <c r="N255" t="s">
        <v>47</v>
      </c>
      <c r="O255">
        <v>0</v>
      </c>
      <c r="P255">
        <v>0</v>
      </c>
      <c r="Q255">
        <v>0</v>
      </c>
      <c r="S255">
        <v>0</v>
      </c>
      <c r="T255">
        <v>0</v>
      </c>
      <c r="U255">
        <v>0</v>
      </c>
      <c r="V255" t="s">
        <v>49</v>
      </c>
      <c r="W255">
        <v>1</v>
      </c>
      <c r="X255">
        <v>0</v>
      </c>
      <c r="Y255">
        <v>0</v>
      </c>
      <c r="Z255" t="s">
        <v>54</v>
      </c>
      <c r="AA255">
        <v>0</v>
      </c>
      <c r="AB255">
        <v>1</v>
      </c>
      <c r="AC255">
        <v>0</v>
      </c>
      <c r="AD255">
        <v>1</v>
      </c>
      <c r="AE255">
        <v>0</v>
      </c>
      <c r="AF255">
        <v>0</v>
      </c>
      <c r="AG255" t="s">
        <v>512</v>
      </c>
    </row>
    <row r="256" spans="1:33" x14ac:dyDescent="0.2">
      <c r="A256" t="s">
        <v>80</v>
      </c>
      <c r="B256" t="s">
        <v>164</v>
      </c>
      <c r="C256" t="s">
        <v>42</v>
      </c>
      <c r="D256">
        <v>35</v>
      </c>
      <c r="E256" t="s">
        <v>81</v>
      </c>
      <c r="F256">
        <v>6721</v>
      </c>
      <c r="G256" t="s">
        <v>106</v>
      </c>
      <c r="H256" t="s">
        <v>93</v>
      </c>
      <c r="I256">
        <v>0</v>
      </c>
      <c r="J256">
        <v>0</v>
      </c>
      <c r="K256">
        <v>1</v>
      </c>
      <c r="L256" t="s">
        <v>46</v>
      </c>
      <c r="M256" t="s">
        <v>47</v>
      </c>
      <c r="N256" t="s">
        <v>47</v>
      </c>
      <c r="O256">
        <v>0</v>
      </c>
      <c r="P256">
        <v>0</v>
      </c>
      <c r="Q256">
        <v>0</v>
      </c>
      <c r="S256">
        <v>0</v>
      </c>
      <c r="T256" t="s">
        <v>46</v>
      </c>
      <c r="U256">
        <v>3.8</v>
      </c>
      <c r="V256" t="s">
        <v>49</v>
      </c>
      <c r="W256">
        <v>3</v>
      </c>
      <c r="X256" t="s">
        <v>49</v>
      </c>
      <c r="Y256">
        <v>0</v>
      </c>
      <c r="Z256" t="s">
        <v>60</v>
      </c>
      <c r="AA256">
        <v>0</v>
      </c>
      <c r="AB256">
        <v>4</v>
      </c>
      <c r="AC256">
        <v>0</v>
      </c>
      <c r="AD256">
        <v>0</v>
      </c>
      <c r="AE256">
        <v>0</v>
      </c>
      <c r="AF256">
        <v>1</v>
      </c>
      <c r="AG256" t="s">
        <v>527</v>
      </c>
    </row>
    <row r="257" spans="1:33" x14ac:dyDescent="0.2">
      <c r="A257" t="s">
        <v>97</v>
      </c>
      <c r="B257" t="s">
        <v>41</v>
      </c>
      <c r="C257" t="s">
        <v>42</v>
      </c>
      <c r="D257">
        <v>35</v>
      </c>
      <c r="E257" t="s">
        <v>85</v>
      </c>
      <c r="F257">
        <v>71</v>
      </c>
      <c r="G257" t="s">
        <v>68</v>
      </c>
      <c r="H257" t="s">
        <v>47</v>
      </c>
      <c r="I257">
        <v>1</v>
      </c>
      <c r="J257">
        <v>1</v>
      </c>
      <c r="K257">
        <v>1</v>
      </c>
      <c r="L257" t="s">
        <v>53</v>
      </c>
      <c r="M257" t="s">
        <v>47</v>
      </c>
      <c r="N257" t="s">
        <v>47</v>
      </c>
      <c r="O257">
        <v>0</v>
      </c>
      <c r="P257">
        <v>0</v>
      </c>
      <c r="Q257">
        <v>0</v>
      </c>
      <c r="S257">
        <v>0</v>
      </c>
      <c r="U257">
        <v>0</v>
      </c>
      <c r="V257" t="s">
        <v>60</v>
      </c>
      <c r="W257">
        <v>3</v>
      </c>
      <c r="X257">
        <v>1</v>
      </c>
      <c r="Y257">
        <v>0</v>
      </c>
      <c r="Z257" t="s">
        <v>46</v>
      </c>
      <c r="AA257">
        <v>0</v>
      </c>
      <c r="AB257">
        <v>2</v>
      </c>
      <c r="AC257">
        <v>0</v>
      </c>
      <c r="AD257">
        <v>0</v>
      </c>
      <c r="AE257">
        <v>0</v>
      </c>
      <c r="AF257">
        <v>0</v>
      </c>
    </row>
    <row r="258" spans="1:33" x14ac:dyDescent="0.2">
      <c r="A258" t="s">
        <v>229</v>
      </c>
      <c r="B258" t="s">
        <v>41</v>
      </c>
      <c r="C258" t="s">
        <v>42</v>
      </c>
      <c r="D258">
        <v>35</v>
      </c>
      <c r="E258" t="s">
        <v>51</v>
      </c>
      <c r="F258">
        <v>9119</v>
      </c>
      <c r="G258" t="s">
        <v>44</v>
      </c>
      <c r="H258" t="s">
        <v>47</v>
      </c>
      <c r="I258">
        <v>0</v>
      </c>
      <c r="J258">
        <v>0</v>
      </c>
      <c r="K258">
        <v>0</v>
      </c>
      <c r="L258" t="s">
        <v>46</v>
      </c>
      <c r="M258" t="s">
        <v>47</v>
      </c>
      <c r="N258" t="s">
        <v>45</v>
      </c>
      <c r="O258">
        <v>0</v>
      </c>
      <c r="P258">
        <v>0</v>
      </c>
      <c r="Q258">
        <v>0</v>
      </c>
      <c r="S258">
        <v>0</v>
      </c>
      <c r="T258">
        <v>0</v>
      </c>
      <c r="U258">
        <v>0</v>
      </c>
      <c r="V258" t="s">
        <v>46</v>
      </c>
      <c r="W258">
        <v>0</v>
      </c>
      <c r="X258">
        <v>0</v>
      </c>
      <c r="Y258">
        <v>0</v>
      </c>
      <c r="Z258" t="s">
        <v>46</v>
      </c>
      <c r="AA258">
        <v>0</v>
      </c>
      <c r="AB258">
        <v>2</v>
      </c>
      <c r="AC258">
        <v>1</v>
      </c>
      <c r="AD258">
        <v>1</v>
      </c>
      <c r="AE258">
        <v>0</v>
      </c>
      <c r="AF258">
        <v>0</v>
      </c>
      <c r="AG258" t="s">
        <v>513</v>
      </c>
    </row>
    <row r="259" spans="1:33" x14ac:dyDescent="0.2">
      <c r="A259" t="s">
        <v>277</v>
      </c>
      <c r="B259" t="s">
        <v>41</v>
      </c>
      <c r="C259" t="s">
        <v>42</v>
      </c>
      <c r="D259">
        <v>36</v>
      </c>
      <c r="E259" t="s">
        <v>43</v>
      </c>
      <c r="F259">
        <v>461</v>
      </c>
      <c r="G259" t="s">
        <v>44</v>
      </c>
      <c r="H259" t="s">
        <v>47</v>
      </c>
      <c r="I259">
        <v>0</v>
      </c>
      <c r="J259">
        <v>0</v>
      </c>
      <c r="K259">
        <v>0</v>
      </c>
      <c r="L259" t="s">
        <v>46</v>
      </c>
      <c r="M259" t="s">
        <v>523</v>
      </c>
      <c r="N259" t="s">
        <v>172</v>
      </c>
      <c r="O259">
        <v>0</v>
      </c>
      <c r="P259">
        <v>1</v>
      </c>
      <c r="Q259">
        <v>0</v>
      </c>
      <c r="S259">
        <v>0</v>
      </c>
      <c r="U259">
        <v>28.8</v>
      </c>
      <c r="V259" t="s">
        <v>60</v>
      </c>
      <c r="W259">
        <v>1</v>
      </c>
      <c r="X259">
        <v>0</v>
      </c>
      <c r="Y259">
        <v>0</v>
      </c>
      <c r="Z259" t="s">
        <v>46</v>
      </c>
      <c r="AA259">
        <v>1</v>
      </c>
      <c r="AB259">
        <v>4</v>
      </c>
      <c r="AC259">
        <v>0</v>
      </c>
      <c r="AD259">
        <v>0</v>
      </c>
      <c r="AE259">
        <v>1</v>
      </c>
      <c r="AF259">
        <v>0</v>
      </c>
    </row>
    <row r="260" spans="1:33" x14ac:dyDescent="0.2">
      <c r="A260" t="s">
        <v>229</v>
      </c>
      <c r="B260" t="s">
        <v>41</v>
      </c>
      <c r="C260" t="s">
        <v>42</v>
      </c>
      <c r="D260">
        <v>36</v>
      </c>
      <c r="E260" t="s">
        <v>51</v>
      </c>
      <c r="F260">
        <v>461</v>
      </c>
      <c r="G260" t="s">
        <v>44</v>
      </c>
      <c r="H260" t="s">
        <v>47</v>
      </c>
      <c r="I260">
        <v>0</v>
      </c>
      <c r="J260">
        <v>0</v>
      </c>
      <c r="K260">
        <v>0</v>
      </c>
      <c r="L260" t="s">
        <v>46</v>
      </c>
      <c r="M260" t="s">
        <v>47</v>
      </c>
      <c r="N260" t="s">
        <v>524</v>
      </c>
      <c r="O260">
        <v>0</v>
      </c>
      <c r="P260">
        <v>1</v>
      </c>
      <c r="Q260">
        <v>0</v>
      </c>
      <c r="S260">
        <v>1</v>
      </c>
      <c r="T260">
        <v>1</v>
      </c>
      <c r="U260">
        <v>0</v>
      </c>
      <c r="V260" t="s">
        <v>60</v>
      </c>
      <c r="W260">
        <v>2</v>
      </c>
      <c r="X260">
        <v>1</v>
      </c>
      <c r="Y260">
        <v>1</v>
      </c>
      <c r="Z260" t="s">
        <v>49</v>
      </c>
      <c r="AA260">
        <v>1</v>
      </c>
      <c r="AB260">
        <v>3</v>
      </c>
      <c r="AC260">
        <v>0</v>
      </c>
      <c r="AD260">
        <v>0</v>
      </c>
      <c r="AE260">
        <v>0</v>
      </c>
      <c r="AF260">
        <v>0</v>
      </c>
    </row>
    <row r="261" spans="1:33" x14ac:dyDescent="0.2">
      <c r="A261" t="s">
        <v>167</v>
      </c>
      <c r="B261" t="s">
        <v>41</v>
      </c>
      <c r="C261" t="s">
        <v>42</v>
      </c>
      <c r="D261">
        <v>36</v>
      </c>
      <c r="E261" t="s">
        <v>63</v>
      </c>
      <c r="F261">
        <v>4982</v>
      </c>
      <c r="G261" t="s">
        <v>56</v>
      </c>
      <c r="H261" t="s">
        <v>47</v>
      </c>
      <c r="I261">
        <v>0</v>
      </c>
      <c r="J261">
        <v>0</v>
      </c>
      <c r="K261">
        <v>0</v>
      </c>
      <c r="L261" t="s">
        <v>46</v>
      </c>
      <c r="M261" t="s">
        <v>525</v>
      </c>
      <c r="N261" t="s">
        <v>526</v>
      </c>
      <c r="O261">
        <v>0</v>
      </c>
      <c r="P261">
        <v>1</v>
      </c>
      <c r="Q261">
        <v>0</v>
      </c>
      <c r="S261">
        <v>0</v>
      </c>
      <c r="T261">
        <v>0</v>
      </c>
      <c r="U261">
        <v>9.9</v>
      </c>
      <c r="V261" t="s">
        <v>60</v>
      </c>
      <c r="W261">
        <v>2</v>
      </c>
      <c r="X261">
        <v>1</v>
      </c>
      <c r="Y261">
        <v>0</v>
      </c>
      <c r="Z261" t="s">
        <v>46</v>
      </c>
      <c r="AA261">
        <v>0</v>
      </c>
      <c r="AB261">
        <v>3</v>
      </c>
      <c r="AC261">
        <v>0</v>
      </c>
      <c r="AD261">
        <v>0</v>
      </c>
      <c r="AE261">
        <v>0</v>
      </c>
      <c r="AF261">
        <v>0</v>
      </c>
      <c r="AG261" t="s">
        <v>258</v>
      </c>
    </row>
    <row r="262" spans="1:33" x14ac:dyDescent="0.2">
      <c r="A262" t="s">
        <v>84</v>
      </c>
      <c r="B262" t="s">
        <v>41</v>
      </c>
      <c r="C262" t="s">
        <v>42</v>
      </c>
      <c r="D262">
        <v>36</v>
      </c>
      <c r="E262" t="s">
        <v>67</v>
      </c>
      <c r="F262">
        <v>45</v>
      </c>
      <c r="G262" t="s">
        <v>68</v>
      </c>
      <c r="H262" t="s">
        <v>87</v>
      </c>
      <c r="I262">
        <v>0</v>
      </c>
      <c r="J262">
        <v>0</v>
      </c>
      <c r="K262">
        <v>1</v>
      </c>
      <c r="L262" t="s">
        <v>46</v>
      </c>
      <c r="M262" t="s">
        <v>47</v>
      </c>
      <c r="N262" t="s">
        <v>511</v>
      </c>
      <c r="O262">
        <v>0</v>
      </c>
      <c r="P262">
        <v>0</v>
      </c>
      <c r="Q262">
        <v>0</v>
      </c>
      <c r="S262">
        <v>0</v>
      </c>
      <c r="T262">
        <v>3</v>
      </c>
      <c r="U262">
        <v>8.9</v>
      </c>
      <c r="V262" t="s">
        <v>60</v>
      </c>
      <c r="W262">
        <v>2</v>
      </c>
      <c r="X262">
        <v>2</v>
      </c>
      <c r="Y262">
        <v>0</v>
      </c>
      <c r="Z262" t="s">
        <v>181</v>
      </c>
      <c r="AA262">
        <v>0</v>
      </c>
      <c r="AB262">
        <v>4</v>
      </c>
      <c r="AC262">
        <v>0</v>
      </c>
      <c r="AD262">
        <v>0</v>
      </c>
      <c r="AE262">
        <v>0</v>
      </c>
      <c r="AF262">
        <v>1</v>
      </c>
      <c r="AG262" t="s">
        <v>528</v>
      </c>
    </row>
    <row r="263" spans="1:33" x14ac:dyDescent="0.2">
      <c r="A263" t="s">
        <v>302</v>
      </c>
      <c r="B263" t="s">
        <v>164</v>
      </c>
      <c r="C263" t="s">
        <v>42</v>
      </c>
      <c r="D263">
        <v>37</v>
      </c>
      <c r="E263" t="s">
        <v>81</v>
      </c>
      <c r="F263">
        <v>3936</v>
      </c>
      <c r="G263" t="s">
        <v>69</v>
      </c>
      <c r="H263" t="s">
        <v>45</v>
      </c>
      <c r="I263">
        <v>0</v>
      </c>
      <c r="J263">
        <v>0</v>
      </c>
      <c r="K263">
        <v>0</v>
      </c>
      <c r="L263" t="s">
        <v>46</v>
      </c>
      <c r="M263" t="s">
        <v>546</v>
      </c>
      <c r="N263" t="s">
        <v>547</v>
      </c>
      <c r="O263">
        <v>0</v>
      </c>
      <c r="P263">
        <v>0</v>
      </c>
      <c r="Q263">
        <v>0</v>
      </c>
      <c r="S263">
        <v>1</v>
      </c>
      <c r="T263" t="s">
        <v>46</v>
      </c>
      <c r="U263">
        <v>0</v>
      </c>
      <c r="V263" t="s">
        <v>46</v>
      </c>
      <c r="W263">
        <v>0</v>
      </c>
      <c r="X263" t="s">
        <v>49</v>
      </c>
      <c r="Y263">
        <v>0</v>
      </c>
      <c r="Z263" t="s">
        <v>46</v>
      </c>
      <c r="AA263">
        <v>0</v>
      </c>
      <c r="AB263">
        <v>3</v>
      </c>
      <c r="AC263">
        <v>0</v>
      </c>
      <c r="AD263">
        <v>1</v>
      </c>
      <c r="AE263">
        <v>0</v>
      </c>
      <c r="AF263">
        <v>0</v>
      </c>
      <c r="AG263" t="s">
        <v>548</v>
      </c>
    </row>
    <row r="264" spans="1:33" x14ac:dyDescent="0.2">
      <c r="A264" t="s">
        <v>277</v>
      </c>
      <c r="B264" t="s">
        <v>41</v>
      </c>
      <c r="C264" t="s">
        <v>42</v>
      </c>
      <c r="D264">
        <v>37</v>
      </c>
      <c r="E264" t="s">
        <v>43</v>
      </c>
      <c r="F264">
        <v>8103</v>
      </c>
      <c r="G264" t="s">
        <v>56</v>
      </c>
      <c r="H264" t="s">
        <v>47</v>
      </c>
      <c r="I264">
        <v>0</v>
      </c>
      <c r="J264">
        <v>0</v>
      </c>
      <c r="K264">
        <v>0</v>
      </c>
      <c r="L264" t="s">
        <v>46</v>
      </c>
      <c r="M264" t="s">
        <v>531</v>
      </c>
      <c r="N264" t="s">
        <v>150</v>
      </c>
      <c r="O264">
        <v>0</v>
      </c>
      <c r="P264">
        <v>0</v>
      </c>
      <c r="Q264">
        <v>0</v>
      </c>
      <c r="S264">
        <v>0</v>
      </c>
      <c r="T264">
        <v>3</v>
      </c>
      <c r="U264">
        <v>33.200000000000003</v>
      </c>
      <c r="V264" t="s">
        <v>60</v>
      </c>
      <c r="W264">
        <v>0</v>
      </c>
      <c r="X264">
        <v>1</v>
      </c>
      <c r="Y264">
        <v>0</v>
      </c>
      <c r="Z264" t="s">
        <v>46</v>
      </c>
      <c r="AA264">
        <v>0</v>
      </c>
      <c r="AB264">
        <v>3</v>
      </c>
      <c r="AC264">
        <v>0</v>
      </c>
      <c r="AD264">
        <v>0</v>
      </c>
      <c r="AE264">
        <v>1</v>
      </c>
      <c r="AF264">
        <v>0</v>
      </c>
    </row>
    <row r="265" spans="1:33" x14ac:dyDescent="0.2">
      <c r="A265" t="s">
        <v>167</v>
      </c>
      <c r="B265" t="s">
        <v>41</v>
      </c>
      <c r="C265" t="s">
        <v>42</v>
      </c>
      <c r="D265">
        <v>37</v>
      </c>
      <c r="E265" t="s">
        <v>63</v>
      </c>
      <c r="F265">
        <v>910</v>
      </c>
      <c r="G265" t="s">
        <v>64</v>
      </c>
      <c r="H265" t="s">
        <v>306</v>
      </c>
      <c r="I265">
        <v>0</v>
      </c>
      <c r="J265">
        <v>1</v>
      </c>
      <c r="K265">
        <v>1</v>
      </c>
      <c r="L265" t="s">
        <v>60</v>
      </c>
      <c r="M265" t="s">
        <v>532</v>
      </c>
      <c r="N265" t="s">
        <v>533</v>
      </c>
      <c r="O265">
        <v>0</v>
      </c>
      <c r="P265">
        <v>1</v>
      </c>
      <c r="Q265">
        <v>0</v>
      </c>
      <c r="S265">
        <v>1</v>
      </c>
      <c r="T265">
        <v>0</v>
      </c>
      <c r="U265">
        <v>0</v>
      </c>
      <c r="V265" t="s">
        <v>46</v>
      </c>
      <c r="W265">
        <v>2</v>
      </c>
      <c r="X265">
        <v>2</v>
      </c>
      <c r="Y265">
        <v>0</v>
      </c>
      <c r="Z265" t="s">
        <v>46</v>
      </c>
      <c r="AA265">
        <v>0</v>
      </c>
      <c r="AB265">
        <v>4</v>
      </c>
      <c r="AC265">
        <v>0</v>
      </c>
      <c r="AD265">
        <v>0</v>
      </c>
      <c r="AE265">
        <v>0</v>
      </c>
      <c r="AF265">
        <v>1</v>
      </c>
    </row>
    <row r="266" spans="1:33" x14ac:dyDescent="0.2">
      <c r="A266" t="s">
        <v>76</v>
      </c>
      <c r="B266" t="s">
        <v>41</v>
      </c>
      <c r="C266" t="s">
        <v>42</v>
      </c>
      <c r="D266">
        <v>37</v>
      </c>
      <c r="E266" t="s">
        <v>67</v>
      </c>
      <c r="F266">
        <v>2909</v>
      </c>
      <c r="G266" t="s">
        <v>68</v>
      </c>
      <c r="H266" t="s">
        <v>47</v>
      </c>
      <c r="I266">
        <v>0</v>
      </c>
      <c r="J266">
        <v>0</v>
      </c>
      <c r="K266">
        <v>1</v>
      </c>
      <c r="L266" t="s">
        <v>49</v>
      </c>
      <c r="M266" t="s">
        <v>47</v>
      </c>
      <c r="N266" t="s">
        <v>534</v>
      </c>
      <c r="O266">
        <v>0</v>
      </c>
      <c r="P266">
        <v>0</v>
      </c>
      <c r="Q266">
        <v>0</v>
      </c>
      <c r="S266">
        <v>0</v>
      </c>
      <c r="T266">
        <v>3</v>
      </c>
      <c r="U266">
        <v>0</v>
      </c>
      <c r="V266" t="s">
        <v>46</v>
      </c>
      <c r="W266">
        <v>1</v>
      </c>
      <c r="X266">
        <v>-1</v>
      </c>
      <c r="Y266">
        <v>0</v>
      </c>
      <c r="Z266" t="s">
        <v>46</v>
      </c>
      <c r="AA266">
        <v>0</v>
      </c>
      <c r="AB266">
        <v>3</v>
      </c>
      <c r="AC266">
        <v>0</v>
      </c>
      <c r="AD266">
        <v>0</v>
      </c>
      <c r="AE266">
        <v>0</v>
      </c>
      <c r="AF266">
        <v>0</v>
      </c>
    </row>
    <row r="267" spans="1:33" x14ac:dyDescent="0.2">
      <c r="A267" t="s">
        <v>541</v>
      </c>
      <c r="B267" t="s">
        <v>41</v>
      </c>
      <c r="C267" t="s">
        <v>42</v>
      </c>
      <c r="D267">
        <v>37</v>
      </c>
      <c r="E267" t="s">
        <v>51</v>
      </c>
      <c r="F267">
        <v>1555</v>
      </c>
      <c r="G267" t="s">
        <v>44</v>
      </c>
      <c r="H267" t="s">
        <v>47</v>
      </c>
      <c r="I267">
        <v>0</v>
      </c>
      <c r="J267">
        <v>0</v>
      </c>
      <c r="K267">
        <v>0</v>
      </c>
      <c r="L267" t="s">
        <v>46</v>
      </c>
      <c r="M267" t="s">
        <v>47</v>
      </c>
      <c r="N267" t="s">
        <v>273</v>
      </c>
      <c r="O267">
        <v>0</v>
      </c>
      <c r="P267">
        <v>0</v>
      </c>
      <c r="Q267">
        <v>0</v>
      </c>
      <c r="S267">
        <v>0</v>
      </c>
      <c r="U267">
        <v>3.1</v>
      </c>
      <c r="V267" t="s">
        <v>60</v>
      </c>
      <c r="W267">
        <v>2</v>
      </c>
      <c r="X267">
        <v>2</v>
      </c>
      <c r="Y267">
        <v>0</v>
      </c>
      <c r="Z267" t="s">
        <v>46</v>
      </c>
      <c r="AA267">
        <v>0</v>
      </c>
      <c r="AB267">
        <v>4</v>
      </c>
      <c r="AC267">
        <v>0</v>
      </c>
      <c r="AD267">
        <v>0</v>
      </c>
      <c r="AE267">
        <v>0</v>
      </c>
      <c r="AF267">
        <v>0</v>
      </c>
      <c r="AG267" t="s">
        <v>542</v>
      </c>
    </row>
    <row r="268" spans="1:33" x14ac:dyDescent="0.2">
      <c r="A268" t="s">
        <v>302</v>
      </c>
      <c r="B268" t="s">
        <v>164</v>
      </c>
      <c r="C268" t="s">
        <v>42</v>
      </c>
      <c r="D268">
        <v>38</v>
      </c>
      <c r="E268" t="s">
        <v>81</v>
      </c>
      <c r="F268">
        <v>9071</v>
      </c>
      <c r="G268" t="s">
        <v>71</v>
      </c>
      <c r="H268" t="s">
        <v>47</v>
      </c>
      <c r="I268">
        <v>0</v>
      </c>
      <c r="J268">
        <v>0</v>
      </c>
      <c r="K268">
        <v>1</v>
      </c>
      <c r="L268" t="s">
        <v>46</v>
      </c>
      <c r="M268" t="s">
        <v>47</v>
      </c>
      <c r="N268" t="s">
        <v>47</v>
      </c>
      <c r="O268">
        <v>0</v>
      </c>
      <c r="P268">
        <v>0</v>
      </c>
      <c r="Q268">
        <v>0</v>
      </c>
      <c r="S268">
        <v>0</v>
      </c>
      <c r="T268" t="s">
        <v>46</v>
      </c>
      <c r="U268">
        <v>0</v>
      </c>
      <c r="V268" t="s">
        <v>60</v>
      </c>
      <c r="W268">
        <v>2</v>
      </c>
      <c r="X268" t="s">
        <v>49</v>
      </c>
      <c r="Y268">
        <v>0</v>
      </c>
      <c r="Z268" t="s">
        <v>46</v>
      </c>
      <c r="AA268">
        <v>0</v>
      </c>
      <c r="AB268">
        <v>3</v>
      </c>
      <c r="AC268">
        <v>0</v>
      </c>
      <c r="AD268">
        <v>1</v>
      </c>
      <c r="AE268">
        <v>0</v>
      </c>
      <c r="AF268">
        <v>0</v>
      </c>
      <c r="AG268" t="s">
        <v>549</v>
      </c>
    </row>
    <row r="269" spans="1:33" x14ac:dyDescent="0.2">
      <c r="A269" t="s">
        <v>277</v>
      </c>
      <c r="B269" t="s">
        <v>41</v>
      </c>
      <c r="C269" t="s">
        <v>42</v>
      </c>
      <c r="D269">
        <v>38</v>
      </c>
      <c r="E269" t="s">
        <v>43</v>
      </c>
      <c r="F269">
        <v>3865</v>
      </c>
      <c r="G269" t="s">
        <v>56</v>
      </c>
      <c r="H269" t="s">
        <v>47</v>
      </c>
      <c r="I269">
        <v>0</v>
      </c>
      <c r="J269">
        <v>0</v>
      </c>
      <c r="K269">
        <v>0</v>
      </c>
      <c r="L269" t="s">
        <v>46</v>
      </c>
      <c r="M269" t="s">
        <v>535</v>
      </c>
      <c r="N269" t="s">
        <v>174</v>
      </c>
      <c r="O269">
        <v>0</v>
      </c>
      <c r="P269">
        <v>0</v>
      </c>
      <c r="Q269">
        <v>0</v>
      </c>
      <c r="S269">
        <v>0</v>
      </c>
      <c r="T269">
        <v>1</v>
      </c>
      <c r="U269">
        <v>45.5</v>
      </c>
      <c r="V269" t="s">
        <v>60</v>
      </c>
      <c r="W269">
        <v>3</v>
      </c>
      <c r="X269">
        <v>0</v>
      </c>
      <c r="Y269">
        <v>0</v>
      </c>
      <c r="Z269" t="s">
        <v>46</v>
      </c>
      <c r="AA269">
        <v>0</v>
      </c>
      <c r="AB269">
        <v>1</v>
      </c>
      <c r="AC269">
        <v>1</v>
      </c>
      <c r="AD269">
        <v>0</v>
      </c>
      <c r="AE269">
        <v>1</v>
      </c>
      <c r="AF269">
        <v>0</v>
      </c>
    </row>
    <row r="270" spans="1:33" x14ac:dyDescent="0.2">
      <c r="A270" t="s">
        <v>97</v>
      </c>
      <c r="B270" t="s">
        <v>41</v>
      </c>
      <c r="C270" t="s">
        <v>42</v>
      </c>
      <c r="D270">
        <v>36</v>
      </c>
      <c r="E270" t="s">
        <v>85</v>
      </c>
      <c r="F270">
        <v>3176</v>
      </c>
      <c r="G270" t="s">
        <v>71</v>
      </c>
      <c r="H270" t="s">
        <v>57</v>
      </c>
      <c r="I270">
        <v>1</v>
      </c>
      <c r="J270">
        <v>1</v>
      </c>
      <c r="K270">
        <v>1</v>
      </c>
      <c r="L270" t="s">
        <v>60</v>
      </c>
      <c r="M270" t="s">
        <v>529</v>
      </c>
      <c r="N270" t="s">
        <v>530</v>
      </c>
      <c r="O270">
        <v>0</v>
      </c>
      <c r="P270">
        <v>0</v>
      </c>
      <c r="Q270">
        <v>0</v>
      </c>
      <c r="S270">
        <v>0</v>
      </c>
      <c r="U270">
        <v>0</v>
      </c>
      <c r="V270" t="s">
        <v>141</v>
      </c>
      <c r="W270">
        <v>2</v>
      </c>
      <c r="X270">
        <v>2</v>
      </c>
      <c r="Y270">
        <v>2</v>
      </c>
      <c r="Z270" t="s">
        <v>60</v>
      </c>
      <c r="AA270">
        <v>0</v>
      </c>
      <c r="AB270">
        <v>5</v>
      </c>
      <c r="AC270">
        <v>0</v>
      </c>
      <c r="AD270">
        <v>0</v>
      </c>
      <c r="AE270">
        <v>0</v>
      </c>
      <c r="AF270">
        <v>1</v>
      </c>
    </row>
    <row r="271" spans="1:33" x14ac:dyDescent="0.2">
      <c r="A271" t="s">
        <v>167</v>
      </c>
      <c r="B271" t="s">
        <v>41</v>
      </c>
      <c r="C271" t="s">
        <v>42</v>
      </c>
      <c r="D271">
        <v>38</v>
      </c>
      <c r="E271" t="s">
        <v>63</v>
      </c>
      <c r="F271">
        <v>2197</v>
      </c>
      <c r="G271" t="s">
        <v>64</v>
      </c>
      <c r="H271" t="s">
        <v>47</v>
      </c>
      <c r="I271">
        <v>0</v>
      </c>
      <c r="J271">
        <v>1</v>
      </c>
      <c r="K271">
        <v>0</v>
      </c>
      <c r="L271" t="s">
        <v>53</v>
      </c>
      <c r="M271" t="s">
        <v>539</v>
      </c>
      <c r="N271" t="s">
        <v>170</v>
      </c>
      <c r="O271">
        <v>2</v>
      </c>
      <c r="P271">
        <v>1</v>
      </c>
      <c r="Q271">
        <v>1</v>
      </c>
      <c r="R271">
        <v>328</v>
      </c>
      <c r="S271">
        <v>0</v>
      </c>
      <c r="T271">
        <v>1</v>
      </c>
      <c r="U271">
        <v>11.1</v>
      </c>
      <c r="V271" t="s">
        <v>60</v>
      </c>
      <c r="W271">
        <v>3</v>
      </c>
      <c r="X271">
        <v>2</v>
      </c>
      <c r="Y271">
        <v>0</v>
      </c>
      <c r="Z271" t="s">
        <v>46</v>
      </c>
      <c r="AA271">
        <v>0</v>
      </c>
      <c r="AB271">
        <v>5</v>
      </c>
      <c r="AC271">
        <v>0</v>
      </c>
      <c r="AD271">
        <v>0</v>
      </c>
      <c r="AE271">
        <v>0</v>
      </c>
      <c r="AF271">
        <v>1</v>
      </c>
      <c r="AG271" t="s">
        <v>540</v>
      </c>
    </row>
    <row r="272" spans="1:33" x14ac:dyDescent="0.2">
      <c r="A272" t="s">
        <v>541</v>
      </c>
      <c r="B272" t="s">
        <v>41</v>
      </c>
      <c r="C272" t="s">
        <v>42</v>
      </c>
      <c r="D272">
        <v>38</v>
      </c>
      <c r="E272" t="s">
        <v>51</v>
      </c>
      <c r="F272">
        <v>3940</v>
      </c>
      <c r="G272" t="s">
        <v>44</v>
      </c>
      <c r="H272" t="s">
        <v>45</v>
      </c>
      <c r="I272">
        <v>1</v>
      </c>
      <c r="J272">
        <v>1</v>
      </c>
      <c r="K272">
        <v>1</v>
      </c>
      <c r="L272" t="s">
        <v>46</v>
      </c>
      <c r="M272" t="s">
        <v>543</v>
      </c>
      <c r="N272" t="s">
        <v>544</v>
      </c>
      <c r="O272">
        <v>0</v>
      </c>
      <c r="P272">
        <v>1</v>
      </c>
      <c r="Q272">
        <v>0</v>
      </c>
      <c r="S272">
        <v>0</v>
      </c>
      <c r="U272">
        <v>7.6</v>
      </c>
      <c r="V272" t="s">
        <v>60</v>
      </c>
      <c r="W272">
        <v>3</v>
      </c>
      <c r="X272">
        <v>2</v>
      </c>
      <c r="Y272">
        <v>1</v>
      </c>
      <c r="Z272" t="s">
        <v>46</v>
      </c>
      <c r="AA272">
        <v>0</v>
      </c>
      <c r="AB272">
        <v>5</v>
      </c>
      <c r="AC272">
        <v>0</v>
      </c>
      <c r="AD272">
        <v>0</v>
      </c>
      <c r="AE272">
        <v>0</v>
      </c>
      <c r="AF272">
        <v>1</v>
      </c>
    </row>
    <row r="273" spans="1:33" x14ac:dyDescent="0.2">
      <c r="A273" t="s">
        <v>277</v>
      </c>
      <c r="B273" t="s">
        <v>41</v>
      </c>
      <c r="C273" t="s">
        <v>42</v>
      </c>
      <c r="D273">
        <v>39</v>
      </c>
      <c r="E273" t="s">
        <v>43</v>
      </c>
      <c r="F273">
        <v>4926</v>
      </c>
      <c r="G273" t="s">
        <v>204</v>
      </c>
      <c r="H273" t="s">
        <v>47</v>
      </c>
      <c r="I273">
        <v>0</v>
      </c>
      <c r="J273">
        <v>0</v>
      </c>
      <c r="K273">
        <v>0</v>
      </c>
      <c r="L273" t="s">
        <v>46</v>
      </c>
      <c r="M273" t="s">
        <v>545</v>
      </c>
      <c r="N273" t="s">
        <v>45</v>
      </c>
      <c r="O273">
        <v>0</v>
      </c>
      <c r="P273">
        <v>0</v>
      </c>
      <c r="Q273">
        <v>0</v>
      </c>
      <c r="S273">
        <v>0</v>
      </c>
      <c r="U273">
        <v>21.2</v>
      </c>
      <c r="V273" t="s">
        <v>49</v>
      </c>
      <c r="W273">
        <v>2</v>
      </c>
      <c r="X273">
        <v>1</v>
      </c>
      <c r="Y273">
        <v>0</v>
      </c>
      <c r="Z273" t="s">
        <v>181</v>
      </c>
      <c r="AA273">
        <v>1</v>
      </c>
      <c r="AB273">
        <v>3</v>
      </c>
      <c r="AC273">
        <v>0</v>
      </c>
      <c r="AD273">
        <v>0</v>
      </c>
      <c r="AE273">
        <v>0</v>
      </c>
      <c r="AF273">
        <v>0</v>
      </c>
    </row>
    <row r="274" spans="1:33" x14ac:dyDescent="0.2">
      <c r="A274" t="s">
        <v>167</v>
      </c>
      <c r="B274" t="s">
        <v>41</v>
      </c>
      <c r="C274" t="s">
        <v>42</v>
      </c>
      <c r="D274">
        <v>39</v>
      </c>
      <c r="E274" t="s">
        <v>63</v>
      </c>
      <c r="F274">
        <v>3487</v>
      </c>
      <c r="G274" t="s">
        <v>78</v>
      </c>
      <c r="H274" t="s">
        <v>47</v>
      </c>
      <c r="I274">
        <v>0</v>
      </c>
      <c r="J274">
        <v>1</v>
      </c>
      <c r="K274">
        <v>0</v>
      </c>
      <c r="L274" t="s">
        <v>60</v>
      </c>
      <c r="M274" t="s">
        <v>550</v>
      </c>
      <c r="N274" t="s">
        <v>551</v>
      </c>
      <c r="O274">
        <v>0</v>
      </c>
      <c r="P274">
        <v>1</v>
      </c>
      <c r="Q274">
        <v>0</v>
      </c>
      <c r="S274">
        <v>0</v>
      </c>
      <c r="T274">
        <v>1</v>
      </c>
      <c r="U274">
        <v>7</v>
      </c>
      <c r="V274" t="s">
        <v>60</v>
      </c>
      <c r="W274">
        <v>2</v>
      </c>
      <c r="X274">
        <v>1</v>
      </c>
      <c r="Y274">
        <v>0</v>
      </c>
      <c r="Z274" t="s">
        <v>46</v>
      </c>
      <c r="AA274">
        <v>0</v>
      </c>
      <c r="AB274">
        <v>3</v>
      </c>
      <c r="AC274">
        <v>0</v>
      </c>
      <c r="AD274">
        <v>0</v>
      </c>
      <c r="AE274">
        <v>0</v>
      </c>
      <c r="AF274">
        <v>0</v>
      </c>
      <c r="AG274" t="s">
        <v>402</v>
      </c>
    </row>
    <row r="275" spans="1:33" x14ac:dyDescent="0.2">
      <c r="A275" t="s">
        <v>272</v>
      </c>
      <c r="B275" t="s">
        <v>164</v>
      </c>
      <c r="C275" t="s">
        <v>42</v>
      </c>
      <c r="D275">
        <v>39</v>
      </c>
      <c r="E275" t="s">
        <v>81</v>
      </c>
      <c r="F275">
        <v>1501</v>
      </c>
      <c r="G275" t="s">
        <v>68</v>
      </c>
      <c r="H275" t="s">
        <v>47</v>
      </c>
      <c r="I275">
        <v>0</v>
      </c>
      <c r="J275">
        <v>0</v>
      </c>
      <c r="K275">
        <v>0</v>
      </c>
      <c r="L275" t="s">
        <v>46</v>
      </c>
      <c r="M275" t="s">
        <v>552</v>
      </c>
      <c r="N275" t="s">
        <v>553</v>
      </c>
      <c r="O275">
        <v>0</v>
      </c>
      <c r="P275">
        <v>1</v>
      </c>
      <c r="Q275">
        <v>0</v>
      </c>
      <c r="S275">
        <v>1</v>
      </c>
      <c r="T275" t="s">
        <v>46</v>
      </c>
      <c r="U275">
        <v>12.5</v>
      </c>
      <c r="V275" t="s">
        <v>141</v>
      </c>
      <c r="W275">
        <v>2</v>
      </c>
      <c r="X275" t="s">
        <v>49</v>
      </c>
      <c r="Y275">
        <v>1</v>
      </c>
      <c r="Z275" t="s">
        <v>49</v>
      </c>
      <c r="AA275">
        <v>1</v>
      </c>
      <c r="AB275">
        <v>3</v>
      </c>
      <c r="AC275">
        <v>0</v>
      </c>
      <c r="AD275">
        <v>0</v>
      </c>
      <c r="AE275">
        <v>0</v>
      </c>
      <c r="AF275">
        <v>0</v>
      </c>
      <c r="AG275" t="s">
        <v>554</v>
      </c>
    </row>
    <row r="276" spans="1:33" x14ac:dyDescent="0.2">
      <c r="A276" t="s">
        <v>167</v>
      </c>
      <c r="B276" t="s">
        <v>41</v>
      </c>
      <c r="C276" t="s">
        <v>42</v>
      </c>
      <c r="D276">
        <v>40</v>
      </c>
      <c r="E276" t="s">
        <v>63</v>
      </c>
      <c r="F276">
        <v>135</v>
      </c>
      <c r="G276" t="s">
        <v>56</v>
      </c>
      <c r="H276" t="s">
        <v>48</v>
      </c>
      <c r="I276">
        <v>1</v>
      </c>
      <c r="J276">
        <v>1</v>
      </c>
      <c r="K276">
        <v>1</v>
      </c>
      <c r="L276" t="s">
        <v>46</v>
      </c>
      <c r="M276" t="s">
        <v>555</v>
      </c>
      <c r="N276" t="s">
        <v>556</v>
      </c>
      <c r="O276">
        <v>0</v>
      </c>
      <c r="P276">
        <v>1</v>
      </c>
      <c r="Q276">
        <v>0</v>
      </c>
      <c r="S276">
        <v>1</v>
      </c>
      <c r="T276">
        <v>3</v>
      </c>
      <c r="U276">
        <v>2.4</v>
      </c>
      <c r="V276" t="s">
        <v>60</v>
      </c>
      <c r="W276">
        <v>2</v>
      </c>
      <c r="X276">
        <v>2</v>
      </c>
      <c r="Y276">
        <v>0</v>
      </c>
      <c r="Z276" t="s">
        <v>46</v>
      </c>
      <c r="AA276">
        <v>0</v>
      </c>
      <c r="AB276">
        <v>4</v>
      </c>
      <c r="AC276">
        <v>0</v>
      </c>
      <c r="AD276">
        <v>0</v>
      </c>
      <c r="AE276">
        <v>0</v>
      </c>
      <c r="AF276">
        <v>1</v>
      </c>
      <c r="AG276" t="s">
        <v>557</v>
      </c>
    </row>
    <row r="277" spans="1:33" x14ac:dyDescent="0.2">
      <c r="A277" t="s">
        <v>277</v>
      </c>
      <c r="B277" t="s">
        <v>41</v>
      </c>
      <c r="C277" t="s">
        <v>42</v>
      </c>
      <c r="D277">
        <v>40</v>
      </c>
      <c r="E277" t="s">
        <v>43</v>
      </c>
      <c r="F277">
        <v>3936</v>
      </c>
      <c r="G277" t="s">
        <v>78</v>
      </c>
      <c r="H277" t="s">
        <v>45</v>
      </c>
      <c r="I277">
        <v>0</v>
      </c>
      <c r="J277">
        <v>1</v>
      </c>
      <c r="K277">
        <v>0</v>
      </c>
      <c r="L277" t="s">
        <v>46</v>
      </c>
      <c r="M277" t="s">
        <v>558</v>
      </c>
      <c r="N277" t="s">
        <v>559</v>
      </c>
      <c r="O277">
        <v>0</v>
      </c>
      <c r="P277">
        <v>1</v>
      </c>
      <c r="Q277">
        <v>0</v>
      </c>
      <c r="S277">
        <v>1</v>
      </c>
      <c r="T277">
        <v>0</v>
      </c>
      <c r="U277">
        <v>8.6999999999999993</v>
      </c>
      <c r="V277" t="s">
        <v>141</v>
      </c>
      <c r="W277">
        <v>2</v>
      </c>
      <c r="X277">
        <v>1</v>
      </c>
      <c r="Y277">
        <v>1</v>
      </c>
      <c r="Z277" t="s">
        <v>49</v>
      </c>
      <c r="AA277">
        <v>1</v>
      </c>
      <c r="AB277">
        <v>4</v>
      </c>
      <c r="AC277">
        <v>0</v>
      </c>
      <c r="AD277">
        <v>0</v>
      </c>
      <c r="AE277">
        <v>1</v>
      </c>
      <c r="AF277">
        <v>1</v>
      </c>
    </row>
    <row r="278" spans="1:33" x14ac:dyDescent="0.2">
      <c r="A278" t="s">
        <v>50</v>
      </c>
      <c r="B278" t="s">
        <v>41</v>
      </c>
      <c r="C278" t="s">
        <v>42</v>
      </c>
      <c r="D278">
        <v>40</v>
      </c>
      <c r="E278" t="s">
        <v>51</v>
      </c>
      <c r="F278">
        <v>868</v>
      </c>
      <c r="G278" t="s">
        <v>44</v>
      </c>
      <c r="H278" t="s">
        <v>45</v>
      </c>
      <c r="I278">
        <v>1</v>
      </c>
      <c r="J278">
        <v>0</v>
      </c>
      <c r="K278">
        <v>1</v>
      </c>
      <c r="L278" t="s">
        <v>46</v>
      </c>
      <c r="M278" t="s">
        <v>560</v>
      </c>
      <c r="N278" t="s">
        <v>561</v>
      </c>
      <c r="O278">
        <v>0</v>
      </c>
      <c r="P278">
        <v>0</v>
      </c>
      <c r="Q278">
        <v>0</v>
      </c>
      <c r="S278">
        <v>1</v>
      </c>
      <c r="T278">
        <v>2</v>
      </c>
      <c r="U278">
        <v>4.7</v>
      </c>
      <c r="V278" t="s">
        <v>53</v>
      </c>
      <c r="W278">
        <v>2</v>
      </c>
      <c r="X278">
        <v>1</v>
      </c>
      <c r="Y278">
        <v>2</v>
      </c>
      <c r="Z278" t="s">
        <v>49</v>
      </c>
      <c r="AA278">
        <v>0</v>
      </c>
      <c r="AB278">
        <v>4</v>
      </c>
      <c r="AC278">
        <v>0</v>
      </c>
      <c r="AD278">
        <v>0</v>
      </c>
      <c r="AE278">
        <v>0</v>
      </c>
      <c r="AF278">
        <v>1</v>
      </c>
      <c r="AG278" t="s">
        <v>562</v>
      </c>
    </row>
    <row r="279" spans="1:33" x14ac:dyDescent="0.2">
      <c r="A279" t="s">
        <v>158</v>
      </c>
      <c r="B279" t="s">
        <v>41</v>
      </c>
      <c r="C279" t="s">
        <v>42</v>
      </c>
      <c r="D279">
        <v>40</v>
      </c>
      <c r="E279" t="s">
        <v>67</v>
      </c>
      <c r="F279">
        <v>1747</v>
      </c>
      <c r="G279" t="s">
        <v>563</v>
      </c>
      <c r="H279" t="s">
        <v>47</v>
      </c>
      <c r="I279">
        <v>0</v>
      </c>
      <c r="J279">
        <v>0</v>
      </c>
      <c r="K279">
        <v>0</v>
      </c>
      <c r="L279" t="s">
        <v>46</v>
      </c>
      <c r="M279" t="s">
        <v>47</v>
      </c>
      <c r="N279" t="s">
        <v>93</v>
      </c>
      <c r="O279">
        <v>0</v>
      </c>
      <c r="P279">
        <v>0</v>
      </c>
      <c r="Q279">
        <v>0</v>
      </c>
      <c r="S279">
        <v>0</v>
      </c>
      <c r="T279">
        <v>0</v>
      </c>
      <c r="U279">
        <v>0</v>
      </c>
      <c r="V279" t="s">
        <v>60</v>
      </c>
      <c r="W279">
        <v>2</v>
      </c>
      <c r="X279">
        <v>-1</v>
      </c>
      <c r="Y279">
        <v>0</v>
      </c>
      <c r="Z279" t="s">
        <v>46</v>
      </c>
      <c r="AA279">
        <v>0</v>
      </c>
      <c r="AB279">
        <v>3</v>
      </c>
      <c r="AC279">
        <v>1</v>
      </c>
      <c r="AD279">
        <v>0</v>
      </c>
      <c r="AE279">
        <v>0</v>
      </c>
      <c r="AF279">
        <v>0</v>
      </c>
    </row>
    <row r="280" spans="1:33" x14ac:dyDescent="0.2">
      <c r="A280" t="s">
        <v>272</v>
      </c>
      <c r="B280" t="s">
        <v>164</v>
      </c>
      <c r="C280" t="s">
        <v>42</v>
      </c>
      <c r="D280">
        <v>41</v>
      </c>
      <c r="E280" t="s">
        <v>81</v>
      </c>
      <c r="F280">
        <v>7477</v>
      </c>
      <c r="G280" t="s">
        <v>71</v>
      </c>
      <c r="H280" t="s">
        <v>47</v>
      </c>
      <c r="I280">
        <v>0</v>
      </c>
      <c r="J280">
        <v>0</v>
      </c>
      <c r="K280">
        <v>0</v>
      </c>
      <c r="L280" t="s">
        <v>46</v>
      </c>
      <c r="M280" t="s">
        <v>47</v>
      </c>
      <c r="N280" t="s">
        <v>47</v>
      </c>
      <c r="O280">
        <v>0</v>
      </c>
      <c r="P280">
        <v>0</v>
      </c>
      <c r="Q280">
        <v>0</v>
      </c>
      <c r="S280">
        <v>0</v>
      </c>
      <c r="T280" t="s">
        <v>46</v>
      </c>
      <c r="U280">
        <v>0</v>
      </c>
      <c r="V280" t="s">
        <v>46</v>
      </c>
      <c r="W280">
        <v>2</v>
      </c>
      <c r="X280" t="s">
        <v>49</v>
      </c>
      <c r="Y280">
        <v>0</v>
      </c>
      <c r="Z280" t="s">
        <v>60</v>
      </c>
      <c r="AA280">
        <v>1</v>
      </c>
      <c r="AB280">
        <v>2</v>
      </c>
      <c r="AC280">
        <v>0</v>
      </c>
      <c r="AD280">
        <v>1</v>
      </c>
      <c r="AE280">
        <v>0</v>
      </c>
      <c r="AF280">
        <v>0</v>
      </c>
      <c r="AG280" t="s">
        <v>565</v>
      </c>
    </row>
    <row r="281" spans="1:33" x14ac:dyDescent="0.2">
      <c r="A281" t="s">
        <v>158</v>
      </c>
      <c r="B281" t="s">
        <v>41</v>
      </c>
      <c r="C281" t="s">
        <v>42</v>
      </c>
      <c r="D281">
        <v>41</v>
      </c>
      <c r="E281" t="s">
        <v>67</v>
      </c>
      <c r="F281">
        <v>71</v>
      </c>
      <c r="G281" t="s">
        <v>106</v>
      </c>
      <c r="H281" t="s">
        <v>47</v>
      </c>
      <c r="I281">
        <v>1</v>
      </c>
      <c r="J281">
        <v>0</v>
      </c>
      <c r="K281">
        <v>1</v>
      </c>
      <c r="L281" t="s">
        <v>46</v>
      </c>
      <c r="M281" t="s">
        <v>47</v>
      </c>
      <c r="N281" t="s">
        <v>564</v>
      </c>
      <c r="O281">
        <v>0</v>
      </c>
      <c r="P281">
        <v>1</v>
      </c>
      <c r="Q281">
        <v>0</v>
      </c>
      <c r="S281">
        <v>0</v>
      </c>
      <c r="T281">
        <v>2</v>
      </c>
      <c r="U281">
        <v>0</v>
      </c>
      <c r="V281" t="s">
        <v>60</v>
      </c>
      <c r="W281">
        <v>2</v>
      </c>
      <c r="X281">
        <v>1</v>
      </c>
      <c r="Y281">
        <v>0</v>
      </c>
      <c r="Z281" t="s">
        <v>49</v>
      </c>
      <c r="AA281">
        <v>0</v>
      </c>
      <c r="AB281">
        <v>2</v>
      </c>
      <c r="AC281">
        <v>0</v>
      </c>
      <c r="AD281">
        <v>0</v>
      </c>
      <c r="AE281">
        <v>0</v>
      </c>
      <c r="AF281">
        <v>0</v>
      </c>
    </row>
    <row r="282" spans="1:33" x14ac:dyDescent="0.2">
      <c r="A282" t="s">
        <v>50</v>
      </c>
      <c r="B282" t="s">
        <v>41</v>
      </c>
      <c r="C282" t="s">
        <v>42</v>
      </c>
      <c r="D282">
        <v>41</v>
      </c>
      <c r="E282" t="s">
        <v>51</v>
      </c>
      <c r="F282">
        <v>2909</v>
      </c>
      <c r="G282" t="s">
        <v>78</v>
      </c>
      <c r="H282" t="s">
        <v>47</v>
      </c>
      <c r="I282">
        <v>0</v>
      </c>
      <c r="J282">
        <v>0</v>
      </c>
      <c r="K282">
        <v>1</v>
      </c>
      <c r="L282" t="s">
        <v>46</v>
      </c>
      <c r="M282" t="s">
        <v>566</v>
      </c>
      <c r="N282" t="s">
        <v>502</v>
      </c>
      <c r="O282">
        <v>0</v>
      </c>
      <c r="P282">
        <v>0</v>
      </c>
      <c r="Q282">
        <v>0</v>
      </c>
      <c r="S282">
        <v>0</v>
      </c>
      <c r="T282">
        <v>2</v>
      </c>
      <c r="U282">
        <v>24.5</v>
      </c>
      <c r="V282" t="s">
        <v>53</v>
      </c>
      <c r="W282">
        <v>2</v>
      </c>
      <c r="X282">
        <v>1</v>
      </c>
      <c r="Y282">
        <v>2</v>
      </c>
      <c r="Z282" t="s">
        <v>181</v>
      </c>
      <c r="AA282">
        <v>0</v>
      </c>
      <c r="AB282">
        <v>3</v>
      </c>
      <c r="AC282">
        <v>0</v>
      </c>
      <c r="AD282">
        <v>0</v>
      </c>
      <c r="AE282">
        <v>0</v>
      </c>
      <c r="AF282">
        <v>0</v>
      </c>
      <c r="AG282" t="s">
        <v>567</v>
      </c>
    </row>
    <row r="283" spans="1:33" x14ac:dyDescent="0.2">
      <c r="A283" t="s">
        <v>76</v>
      </c>
      <c r="B283" t="s">
        <v>41</v>
      </c>
      <c r="C283" t="s">
        <v>42</v>
      </c>
      <c r="D283">
        <v>41</v>
      </c>
      <c r="E283" t="s">
        <v>43</v>
      </c>
      <c r="F283">
        <v>1555</v>
      </c>
      <c r="G283" t="s">
        <v>489</v>
      </c>
      <c r="H283" t="s">
        <v>47</v>
      </c>
      <c r="I283">
        <v>0</v>
      </c>
      <c r="J283">
        <v>0</v>
      </c>
      <c r="K283">
        <v>1</v>
      </c>
      <c r="L283" t="s">
        <v>49</v>
      </c>
      <c r="M283" t="s">
        <v>47</v>
      </c>
      <c r="N283" t="s">
        <v>568</v>
      </c>
      <c r="O283">
        <v>0</v>
      </c>
      <c r="P283">
        <v>0</v>
      </c>
      <c r="Q283">
        <v>0</v>
      </c>
      <c r="S283">
        <v>1</v>
      </c>
      <c r="T283">
        <v>1</v>
      </c>
      <c r="U283">
        <v>0</v>
      </c>
      <c r="V283" t="s">
        <v>60</v>
      </c>
      <c r="W283">
        <v>2</v>
      </c>
      <c r="X283">
        <v>1</v>
      </c>
      <c r="Y283">
        <v>0</v>
      </c>
      <c r="Z283" t="s">
        <v>46</v>
      </c>
      <c r="AA283">
        <v>0</v>
      </c>
      <c r="AB283">
        <v>5</v>
      </c>
      <c r="AC283">
        <v>0</v>
      </c>
      <c r="AD283">
        <v>0</v>
      </c>
      <c r="AE283">
        <v>0</v>
      </c>
      <c r="AF283">
        <v>1</v>
      </c>
      <c r="AG283" t="s">
        <v>569</v>
      </c>
    </row>
    <row r="284" spans="1:33" x14ac:dyDescent="0.2">
      <c r="A284" t="s">
        <v>167</v>
      </c>
      <c r="B284" t="s">
        <v>41</v>
      </c>
      <c r="C284" t="s">
        <v>42</v>
      </c>
      <c r="D284">
        <v>41</v>
      </c>
      <c r="E284" t="s">
        <v>63</v>
      </c>
      <c r="F284">
        <v>862</v>
      </c>
      <c r="G284" t="s">
        <v>78</v>
      </c>
      <c r="H284" t="s">
        <v>129</v>
      </c>
      <c r="I284">
        <v>0</v>
      </c>
      <c r="J284">
        <v>1</v>
      </c>
      <c r="K284">
        <v>1</v>
      </c>
      <c r="L284" t="s">
        <v>60</v>
      </c>
      <c r="M284" t="s">
        <v>622</v>
      </c>
      <c r="N284" t="s">
        <v>623</v>
      </c>
      <c r="O284">
        <v>0</v>
      </c>
      <c r="P284">
        <v>1</v>
      </c>
      <c r="Q284">
        <v>0</v>
      </c>
      <c r="S284">
        <v>1</v>
      </c>
      <c r="T284">
        <v>1</v>
      </c>
      <c r="U284">
        <v>17.399999999999999</v>
      </c>
      <c r="V284" t="s">
        <v>60</v>
      </c>
      <c r="W284">
        <v>2</v>
      </c>
      <c r="X284">
        <v>2</v>
      </c>
      <c r="Y284">
        <v>0</v>
      </c>
      <c r="Z284" t="s">
        <v>60</v>
      </c>
      <c r="AA284">
        <v>0</v>
      </c>
      <c r="AB284">
        <v>5</v>
      </c>
      <c r="AC284">
        <v>0</v>
      </c>
      <c r="AD284">
        <v>0</v>
      </c>
      <c r="AE284">
        <v>0</v>
      </c>
      <c r="AF284">
        <v>1</v>
      </c>
      <c r="AG284" t="s">
        <v>624</v>
      </c>
    </row>
    <row r="285" spans="1:33" x14ac:dyDescent="0.2">
      <c r="A285" t="s">
        <v>76</v>
      </c>
      <c r="B285" t="s">
        <v>41</v>
      </c>
      <c r="C285" t="s">
        <v>42</v>
      </c>
      <c r="D285">
        <v>42</v>
      </c>
      <c r="E285" t="s">
        <v>43</v>
      </c>
      <c r="F285">
        <v>461</v>
      </c>
      <c r="G285" t="s">
        <v>64</v>
      </c>
      <c r="H285" t="s">
        <v>570</v>
      </c>
      <c r="I285">
        <v>1</v>
      </c>
      <c r="J285">
        <v>1</v>
      </c>
      <c r="K285">
        <v>1</v>
      </c>
      <c r="L285" t="s">
        <v>46</v>
      </c>
      <c r="M285" t="s">
        <v>47</v>
      </c>
      <c r="N285" t="s">
        <v>571</v>
      </c>
      <c r="O285">
        <v>0</v>
      </c>
      <c r="P285">
        <v>0</v>
      </c>
      <c r="Q285">
        <v>0</v>
      </c>
      <c r="S285">
        <v>0</v>
      </c>
      <c r="T285">
        <v>0</v>
      </c>
      <c r="U285">
        <v>0</v>
      </c>
      <c r="V285" t="s">
        <v>60</v>
      </c>
      <c r="W285">
        <v>3</v>
      </c>
      <c r="X285">
        <v>2</v>
      </c>
      <c r="Y285">
        <v>0</v>
      </c>
      <c r="Z285" t="s">
        <v>46</v>
      </c>
      <c r="AA285">
        <v>1</v>
      </c>
      <c r="AB285">
        <v>4</v>
      </c>
      <c r="AC285">
        <v>0</v>
      </c>
      <c r="AD285">
        <v>1</v>
      </c>
      <c r="AE285">
        <v>0</v>
      </c>
      <c r="AF285">
        <v>0</v>
      </c>
      <c r="AG285" t="s">
        <v>572</v>
      </c>
    </row>
    <row r="286" spans="1:33" x14ac:dyDescent="0.2">
      <c r="A286" t="s">
        <v>272</v>
      </c>
      <c r="B286" t="s">
        <v>164</v>
      </c>
      <c r="C286" t="s">
        <v>42</v>
      </c>
      <c r="D286">
        <v>42</v>
      </c>
      <c r="E286" t="s">
        <v>81</v>
      </c>
      <c r="F286">
        <v>2867</v>
      </c>
      <c r="G286" t="s">
        <v>71</v>
      </c>
      <c r="H286" t="s">
        <v>69</v>
      </c>
      <c r="I286">
        <v>1</v>
      </c>
      <c r="J286">
        <v>1</v>
      </c>
      <c r="K286">
        <v>1</v>
      </c>
      <c r="L286" t="s">
        <v>46</v>
      </c>
      <c r="M286" t="s">
        <v>573</v>
      </c>
      <c r="N286" t="s">
        <v>574</v>
      </c>
      <c r="O286">
        <v>0</v>
      </c>
      <c r="P286">
        <v>1</v>
      </c>
      <c r="Q286">
        <v>0</v>
      </c>
      <c r="S286">
        <v>0</v>
      </c>
      <c r="T286" t="s">
        <v>54</v>
      </c>
      <c r="U286">
        <v>0</v>
      </c>
      <c r="V286" t="s">
        <v>49</v>
      </c>
      <c r="W286">
        <v>2</v>
      </c>
      <c r="X286" t="s">
        <v>49</v>
      </c>
      <c r="Y286">
        <v>0</v>
      </c>
      <c r="Z286" t="s">
        <v>46</v>
      </c>
      <c r="AA286">
        <v>0</v>
      </c>
      <c r="AB286">
        <v>3</v>
      </c>
      <c r="AC286">
        <v>1</v>
      </c>
      <c r="AD286">
        <v>0</v>
      </c>
      <c r="AE286">
        <v>0</v>
      </c>
      <c r="AF286">
        <v>0</v>
      </c>
      <c r="AG286" t="s">
        <v>575</v>
      </c>
    </row>
    <row r="287" spans="1:33" x14ac:dyDescent="0.2">
      <c r="A287" t="s">
        <v>158</v>
      </c>
      <c r="B287" t="s">
        <v>41</v>
      </c>
      <c r="C287" t="s">
        <v>42</v>
      </c>
      <c r="D287">
        <v>42</v>
      </c>
      <c r="E287" t="s">
        <v>67</v>
      </c>
      <c r="F287">
        <v>5484</v>
      </c>
      <c r="G287" t="s">
        <v>159</v>
      </c>
      <c r="H287" t="s">
        <v>300</v>
      </c>
      <c r="I287">
        <v>0</v>
      </c>
      <c r="J287">
        <v>1</v>
      </c>
      <c r="K287">
        <v>0</v>
      </c>
      <c r="L287" t="s">
        <v>53</v>
      </c>
      <c r="M287" t="s">
        <v>47</v>
      </c>
      <c r="N287" t="s">
        <v>579</v>
      </c>
      <c r="O287">
        <v>0</v>
      </c>
      <c r="P287">
        <v>1</v>
      </c>
      <c r="Q287">
        <v>0</v>
      </c>
      <c r="S287">
        <v>0</v>
      </c>
      <c r="T287">
        <v>0</v>
      </c>
      <c r="U287">
        <v>0</v>
      </c>
      <c r="V287" t="s">
        <v>60</v>
      </c>
      <c r="W287">
        <v>2</v>
      </c>
      <c r="X287">
        <v>1</v>
      </c>
      <c r="Y287">
        <v>1</v>
      </c>
      <c r="Z287" t="s">
        <v>46</v>
      </c>
      <c r="AA287">
        <v>1</v>
      </c>
      <c r="AB287">
        <v>3</v>
      </c>
      <c r="AC287">
        <v>0</v>
      </c>
      <c r="AD287">
        <v>0</v>
      </c>
      <c r="AE287">
        <v>0</v>
      </c>
      <c r="AF287">
        <v>0</v>
      </c>
    </row>
    <row r="288" spans="1:33" x14ac:dyDescent="0.2">
      <c r="A288" t="s">
        <v>50</v>
      </c>
      <c r="B288" t="s">
        <v>41</v>
      </c>
      <c r="C288" t="s">
        <v>42</v>
      </c>
      <c r="D288">
        <v>42</v>
      </c>
      <c r="E288" t="s">
        <v>51</v>
      </c>
      <c r="F288">
        <v>5402</v>
      </c>
      <c r="G288" t="s">
        <v>56</v>
      </c>
      <c r="H288" t="s">
        <v>47</v>
      </c>
      <c r="I288">
        <v>1</v>
      </c>
      <c r="J288">
        <v>0</v>
      </c>
      <c r="K288">
        <v>1</v>
      </c>
      <c r="L288" t="s">
        <v>46</v>
      </c>
      <c r="M288" t="s">
        <v>596</v>
      </c>
      <c r="N288" t="s">
        <v>597</v>
      </c>
      <c r="O288">
        <v>0</v>
      </c>
      <c r="P288">
        <v>0</v>
      </c>
      <c r="Q288">
        <v>0</v>
      </c>
      <c r="S288">
        <v>1</v>
      </c>
      <c r="T288">
        <v>3</v>
      </c>
      <c r="U288">
        <v>24.9</v>
      </c>
      <c r="V288" t="s">
        <v>53</v>
      </c>
      <c r="W288">
        <v>3</v>
      </c>
      <c r="X288">
        <v>1</v>
      </c>
      <c r="Y288">
        <v>2</v>
      </c>
      <c r="Z288" t="s">
        <v>46</v>
      </c>
      <c r="AA288">
        <v>1</v>
      </c>
      <c r="AB288">
        <v>3</v>
      </c>
      <c r="AC288">
        <v>0</v>
      </c>
      <c r="AD288">
        <v>0</v>
      </c>
      <c r="AE288">
        <v>0</v>
      </c>
      <c r="AF288">
        <v>0</v>
      </c>
      <c r="AG288" t="s">
        <v>598</v>
      </c>
    </row>
    <row r="289" spans="1:33" x14ac:dyDescent="0.2">
      <c r="A289" t="s">
        <v>191</v>
      </c>
      <c r="B289" t="s">
        <v>41</v>
      </c>
      <c r="C289" t="s">
        <v>42</v>
      </c>
      <c r="D289">
        <v>43</v>
      </c>
      <c r="E289" t="s">
        <v>51</v>
      </c>
      <c r="F289">
        <v>3176</v>
      </c>
      <c r="G289" t="s">
        <v>56</v>
      </c>
      <c r="H289" t="s">
        <v>57</v>
      </c>
      <c r="I289">
        <v>1</v>
      </c>
      <c r="J289">
        <v>0</v>
      </c>
      <c r="K289">
        <v>1</v>
      </c>
      <c r="L289" t="s">
        <v>46</v>
      </c>
      <c r="M289" t="s">
        <v>576</v>
      </c>
      <c r="N289" t="s">
        <v>577</v>
      </c>
      <c r="O289">
        <v>2</v>
      </c>
      <c r="P289">
        <v>0</v>
      </c>
      <c r="Q289">
        <v>0</v>
      </c>
      <c r="S289">
        <v>1</v>
      </c>
      <c r="T289">
        <v>0</v>
      </c>
      <c r="U289">
        <v>0</v>
      </c>
      <c r="V289" t="s">
        <v>46</v>
      </c>
      <c r="W289">
        <v>2</v>
      </c>
      <c r="X289">
        <v>2</v>
      </c>
      <c r="Y289">
        <v>2</v>
      </c>
      <c r="Z289" t="s">
        <v>46</v>
      </c>
      <c r="AA289">
        <v>1</v>
      </c>
      <c r="AB289">
        <v>5</v>
      </c>
      <c r="AC289">
        <v>1</v>
      </c>
      <c r="AD289">
        <v>0</v>
      </c>
      <c r="AE289">
        <v>0</v>
      </c>
      <c r="AF289">
        <v>1</v>
      </c>
      <c r="AG289" t="s">
        <v>578</v>
      </c>
    </row>
    <row r="290" spans="1:33" x14ac:dyDescent="0.2">
      <c r="A290" t="s">
        <v>272</v>
      </c>
      <c r="B290" t="s">
        <v>164</v>
      </c>
      <c r="C290" t="s">
        <v>42</v>
      </c>
      <c r="D290">
        <v>43</v>
      </c>
      <c r="E290" t="s">
        <v>81</v>
      </c>
      <c r="F290">
        <v>9119</v>
      </c>
      <c r="G290" t="s">
        <v>68</v>
      </c>
      <c r="H290" t="s">
        <v>47</v>
      </c>
      <c r="I290">
        <v>0</v>
      </c>
      <c r="J290">
        <v>0</v>
      </c>
      <c r="K290">
        <v>0</v>
      </c>
      <c r="L290" t="s">
        <v>46</v>
      </c>
      <c r="M290" t="s">
        <v>47</v>
      </c>
      <c r="N290" t="s">
        <v>47</v>
      </c>
      <c r="O290">
        <v>0</v>
      </c>
      <c r="P290">
        <v>0</v>
      </c>
      <c r="Q290">
        <v>0</v>
      </c>
      <c r="S290">
        <v>0</v>
      </c>
      <c r="T290" t="s">
        <v>46</v>
      </c>
      <c r="U290">
        <v>0</v>
      </c>
      <c r="V290" t="s">
        <v>46</v>
      </c>
      <c r="W290">
        <v>0</v>
      </c>
      <c r="X290" t="s">
        <v>46</v>
      </c>
      <c r="Y290">
        <v>0</v>
      </c>
      <c r="Z290" t="s">
        <v>60</v>
      </c>
      <c r="AA290">
        <v>0</v>
      </c>
      <c r="AB290">
        <v>4</v>
      </c>
      <c r="AC290">
        <v>0</v>
      </c>
      <c r="AD290">
        <v>0</v>
      </c>
      <c r="AE290">
        <v>0</v>
      </c>
      <c r="AF290">
        <v>0</v>
      </c>
    </row>
    <row r="291" spans="1:33" x14ac:dyDescent="0.2">
      <c r="A291" t="s">
        <v>158</v>
      </c>
      <c r="B291" t="s">
        <v>41</v>
      </c>
      <c r="C291" t="s">
        <v>42</v>
      </c>
      <c r="D291">
        <v>43</v>
      </c>
      <c r="E291" t="s">
        <v>67</v>
      </c>
      <c r="F291">
        <v>1018</v>
      </c>
      <c r="G291" t="s">
        <v>217</v>
      </c>
      <c r="H291" t="s">
        <v>47</v>
      </c>
      <c r="I291">
        <v>1</v>
      </c>
      <c r="J291">
        <v>0</v>
      </c>
      <c r="K291">
        <v>1</v>
      </c>
      <c r="L291" t="s">
        <v>46</v>
      </c>
      <c r="M291" t="s">
        <v>47</v>
      </c>
      <c r="N291" t="s">
        <v>580</v>
      </c>
      <c r="O291">
        <v>0</v>
      </c>
      <c r="P291">
        <v>1</v>
      </c>
      <c r="Q291">
        <v>0</v>
      </c>
      <c r="S291">
        <v>0</v>
      </c>
      <c r="T291">
        <v>0</v>
      </c>
      <c r="U291">
        <v>0</v>
      </c>
      <c r="V291" t="s">
        <v>46</v>
      </c>
      <c r="W291">
        <v>0</v>
      </c>
      <c r="X291">
        <v>2</v>
      </c>
      <c r="Y291">
        <v>1</v>
      </c>
      <c r="Z291" t="s">
        <v>49</v>
      </c>
      <c r="AA291">
        <v>1</v>
      </c>
      <c r="AB291">
        <v>5</v>
      </c>
      <c r="AC291">
        <v>0</v>
      </c>
      <c r="AD291">
        <v>0</v>
      </c>
      <c r="AE291">
        <v>0</v>
      </c>
      <c r="AF291">
        <v>1</v>
      </c>
    </row>
    <row r="292" spans="1:33" x14ac:dyDescent="0.2">
      <c r="A292" t="s">
        <v>272</v>
      </c>
      <c r="B292" t="s">
        <v>164</v>
      </c>
      <c r="C292" t="s">
        <v>42</v>
      </c>
      <c r="D292">
        <v>44</v>
      </c>
      <c r="E292" t="s">
        <v>81</v>
      </c>
      <c r="F292">
        <v>45</v>
      </c>
      <c r="G292" t="s">
        <v>71</v>
      </c>
      <c r="H292" t="s">
        <v>45</v>
      </c>
      <c r="I292">
        <v>0</v>
      </c>
      <c r="J292">
        <v>0</v>
      </c>
      <c r="K292">
        <v>0</v>
      </c>
      <c r="L292" t="s">
        <v>46</v>
      </c>
      <c r="M292" t="s">
        <v>47</v>
      </c>
      <c r="N292" t="s">
        <v>581</v>
      </c>
      <c r="O292">
        <v>0</v>
      </c>
      <c r="P292">
        <v>1</v>
      </c>
      <c r="Q292">
        <v>0</v>
      </c>
      <c r="S292">
        <v>1</v>
      </c>
      <c r="T292" t="s">
        <v>54</v>
      </c>
      <c r="U292">
        <v>0</v>
      </c>
      <c r="V292" t="s">
        <v>60</v>
      </c>
      <c r="W292">
        <v>2</v>
      </c>
      <c r="X292" t="s">
        <v>49</v>
      </c>
      <c r="Y292">
        <v>1</v>
      </c>
      <c r="Z292" t="s">
        <v>46</v>
      </c>
      <c r="AA292">
        <v>0</v>
      </c>
      <c r="AB292">
        <v>4</v>
      </c>
      <c r="AC292">
        <v>0</v>
      </c>
      <c r="AD292">
        <v>0</v>
      </c>
      <c r="AE292">
        <v>0</v>
      </c>
      <c r="AF292">
        <v>1</v>
      </c>
      <c r="AG292" t="s">
        <v>582</v>
      </c>
    </row>
    <row r="293" spans="1:33" x14ac:dyDescent="0.2">
      <c r="A293" t="s">
        <v>191</v>
      </c>
      <c r="B293" t="s">
        <v>41</v>
      </c>
      <c r="C293" t="s">
        <v>42</v>
      </c>
      <c r="D293">
        <v>44</v>
      </c>
      <c r="E293" t="s">
        <v>51</v>
      </c>
      <c r="F293">
        <v>4982</v>
      </c>
      <c r="G293" t="s">
        <v>44</v>
      </c>
      <c r="H293" t="s">
        <v>47</v>
      </c>
      <c r="I293">
        <v>0</v>
      </c>
      <c r="J293">
        <v>0</v>
      </c>
      <c r="K293">
        <v>0</v>
      </c>
      <c r="L293" t="s">
        <v>46</v>
      </c>
      <c r="M293" t="s">
        <v>583</v>
      </c>
      <c r="N293" t="s">
        <v>326</v>
      </c>
      <c r="O293">
        <v>0</v>
      </c>
      <c r="P293">
        <v>0</v>
      </c>
      <c r="Q293">
        <v>0</v>
      </c>
      <c r="S293">
        <v>1</v>
      </c>
      <c r="T293">
        <v>2</v>
      </c>
      <c r="U293">
        <v>10.1</v>
      </c>
      <c r="V293" t="s">
        <v>49</v>
      </c>
      <c r="W293">
        <v>2</v>
      </c>
      <c r="X293">
        <v>0</v>
      </c>
      <c r="Y293">
        <v>0</v>
      </c>
      <c r="Z293" t="s">
        <v>46</v>
      </c>
      <c r="AA293">
        <v>0</v>
      </c>
      <c r="AB293">
        <v>1</v>
      </c>
      <c r="AC293">
        <v>1</v>
      </c>
      <c r="AD293">
        <v>0</v>
      </c>
      <c r="AE293">
        <v>1</v>
      </c>
      <c r="AF293">
        <v>0</v>
      </c>
      <c r="AG293" t="s">
        <v>584</v>
      </c>
    </row>
    <row r="294" spans="1:33" x14ac:dyDescent="0.2">
      <c r="A294" t="s">
        <v>97</v>
      </c>
      <c r="B294" t="s">
        <v>41</v>
      </c>
      <c r="C294" t="s">
        <v>42</v>
      </c>
      <c r="D294">
        <v>38</v>
      </c>
      <c r="E294" t="s">
        <v>85</v>
      </c>
      <c r="F294">
        <v>3147</v>
      </c>
      <c r="G294" t="s">
        <v>68</v>
      </c>
      <c r="H294" t="s">
        <v>47</v>
      </c>
      <c r="I294">
        <v>1</v>
      </c>
      <c r="J294">
        <v>1</v>
      </c>
      <c r="K294">
        <v>1</v>
      </c>
      <c r="L294" t="s">
        <v>49</v>
      </c>
      <c r="M294" t="s">
        <v>536</v>
      </c>
      <c r="N294" t="s">
        <v>537</v>
      </c>
      <c r="O294">
        <v>0</v>
      </c>
      <c r="P294">
        <v>0</v>
      </c>
      <c r="Q294">
        <v>0</v>
      </c>
      <c r="S294">
        <v>1</v>
      </c>
      <c r="T294">
        <v>3</v>
      </c>
      <c r="U294">
        <v>11</v>
      </c>
      <c r="V294" t="s">
        <v>53</v>
      </c>
      <c r="W294">
        <v>2</v>
      </c>
      <c r="X294">
        <v>1</v>
      </c>
      <c r="Y294">
        <v>0</v>
      </c>
      <c r="Z294" t="s">
        <v>46</v>
      </c>
      <c r="AA294">
        <v>0</v>
      </c>
      <c r="AB294">
        <v>4</v>
      </c>
      <c r="AC294">
        <v>0</v>
      </c>
      <c r="AD294">
        <v>0</v>
      </c>
      <c r="AE294">
        <v>0</v>
      </c>
      <c r="AF294">
        <v>0</v>
      </c>
      <c r="AG294" t="s">
        <v>538</v>
      </c>
    </row>
    <row r="295" spans="1:33" x14ac:dyDescent="0.2">
      <c r="A295" t="s">
        <v>112</v>
      </c>
      <c r="B295" t="s">
        <v>41</v>
      </c>
      <c r="C295" t="s">
        <v>42</v>
      </c>
      <c r="D295">
        <v>44</v>
      </c>
      <c r="E295" t="s">
        <v>67</v>
      </c>
      <c r="F295">
        <v>4926</v>
      </c>
      <c r="G295" t="s">
        <v>106</v>
      </c>
      <c r="H295" t="s">
        <v>47</v>
      </c>
      <c r="I295">
        <v>0</v>
      </c>
      <c r="J295">
        <v>0</v>
      </c>
      <c r="K295">
        <v>1</v>
      </c>
      <c r="L295" t="s">
        <v>46</v>
      </c>
      <c r="M295" t="s">
        <v>587</v>
      </c>
      <c r="N295" t="s">
        <v>588</v>
      </c>
      <c r="O295">
        <v>0</v>
      </c>
      <c r="P295">
        <v>0</v>
      </c>
      <c r="Q295">
        <v>0</v>
      </c>
      <c r="S295">
        <v>0</v>
      </c>
      <c r="T295">
        <v>3</v>
      </c>
      <c r="U295">
        <v>0</v>
      </c>
      <c r="V295" t="s">
        <v>60</v>
      </c>
      <c r="W295">
        <v>2</v>
      </c>
      <c r="X295">
        <v>2</v>
      </c>
      <c r="Y295">
        <v>0</v>
      </c>
      <c r="Z295" t="s">
        <v>46</v>
      </c>
      <c r="AA295">
        <v>1</v>
      </c>
      <c r="AB295">
        <v>4</v>
      </c>
      <c r="AC295">
        <v>0</v>
      </c>
      <c r="AD295">
        <v>0</v>
      </c>
      <c r="AE295">
        <v>0</v>
      </c>
      <c r="AF295">
        <v>1</v>
      </c>
    </row>
    <row r="296" spans="1:33" x14ac:dyDescent="0.2">
      <c r="A296" t="s">
        <v>191</v>
      </c>
      <c r="B296" t="s">
        <v>41</v>
      </c>
      <c r="C296" t="s">
        <v>42</v>
      </c>
      <c r="D296">
        <v>45</v>
      </c>
      <c r="E296" t="s">
        <v>51</v>
      </c>
      <c r="F296">
        <v>1747</v>
      </c>
      <c r="G296" t="s">
        <v>44</v>
      </c>
      <c r="H296" t="s">
        <v>47</v>
      </c>
      <c r="I296">
        <v>0</v>
      </c>
      <c r="J296">
        <v>0</v>
      </c>
      <c r="K296">
        <v>0</v>
      </c>
      <c r="L296" t="s">
        <v>46</v>
      </c>
      <c r="M296" t="s">
        <v>47</v>
      </c>
      <c r="N296" t="s">
        <v>47</v>
      </c>
      <c r="O296">
        <v>0</v>
      </c>
      <c r="P296">
        <v>0</v>
      </c>
      <c r="Q296">
        <v>0</v>
      </c>
      <c r="S296">
        <v>0</v>
      </c>
      <c r="T296">
        <v>0</v>
      </c>
      <c r="U296">
        <v>0</v>
      </c>
      <c r="V296" t="s">
        <v>46</v>
      </c>
      <c r="W296">
        <v>1</v>
      </c>
      <c r="X296">
        <v>-1</v>
      </c>
      <c r="Y296">
        <v>0</v>
      </c>
      <c r="Z296" t="s">
        <v>46</v>
      </c>
      <c r="AA296">
        <v>0</v>
      </c>
      <c r="AB296">
        <v>1</v>
      </c>
      <c r="AC296">
        <v>1</v>
      </c>
      <c r="AD296">
        <v>0</v>
      </c>
      <c r="AE296">
        <v>0</v>
      </c>
      <c r="AF296">
        <v>0</v>
      </c>
      <c r="AG296" t="s">
        <v>589</v>
      </c>
    </row>
    <row r="297" spans="1:33" x14ac:dyDescent="0.2">
      <c r="A297" t="s">
        <v>80</v>
      </c>
      <c r="B297" t="s">
        <v>164</v>
      </c>
      <c r="C297" t="s">
        <v>42</v>
      </c>
      <c r="D297">
        <v>45</v>
      </c>
      <c r="E297" t="s">
        <v>81</v>
      </c>
      <c r="F297">
        <v>461</v>
      </c>
      <c r="G297" t="s">
        <v>71</v>
      </c>
      <c r="H297" t="s">
        <v>45</v>
      </c>
      <c r="I297">
        <v>1</v>
      </c>
      <c r="J297">
        <v>1</v>
      </c>
      <c r="K297">
        <v>1</v>
      </c>
      <c r="L297" t="s">
        <v>46</v>
      </c>
      <c r="M297" t="s">
        <v>590</v>
      </c>
      <c r="N297" t="s">
        <v>591</v>
      </c>
      <c r="O297">
        <v>0</v>
      </c>
      <c r="P297">
        <v>1</v>
      </c>
      <c r="Q297">
        <v>0</v>
      </c>
      <c r="S297">
        <v>0</v>
      </c>
      <c r="T297" t="s">
        <v>46</v>
      </c>
      <c r="U297">
        <v>0</v>
      </c>
      <c r="V297" t="s">
        <v>46</v>
      </c>
      <c r="W297">
        <v>2</v>
      </c>
      <c r="X297" t="s">
        <v>216</v>
      </c>
      <c r="Y297">
        <v>1</v>
      </c>
      <c r="Z297" t="s">
        <v>46</v>
      </c>
      <c r="AA297">
        <v>1</v>
      </c>
      <c r="AB297">
        <v>3</v>
      </c>
      <c r="AC297">
        <v>0</v>
      </c>
      <c r="AD297">
        <v>0</v>
      </c>
      <c r="AE297">
        <v>0</v>
      </c>
      <c r="AF297">
        <v>1</v>
      </c>
      <c r="AG297" t="s">
        <v>592</v>
      </c>
    </row>
    <row r="298" spans="1:33" x14ac:dyDescent="0.2">
      <c r="A298" t="s">
        <v>84</v>
      </c>
      <c r="B298" t="s">
        <v>41</v>
      </c>
      <c r="C298" t="s">
        <v>42</v>
      </c>
      <c r="D298">
        <v>45</v>
      </c>
      <c r="E298" t="s">
        <v>67</v>
      </c>
      <c r="F298">
        <v>3487</v>
      </c>
      <c r="G298" t="s">
        <v>72</v>
      </c>
      <c r="H298" t="s">
        <v>47</v>
      </c>
      <c r="I298">
        <v>0</v>
      </c>
      <c r="J298">
        <v>0</v>
      </c>
      <c r="K298">
        <v>0</v>
      </c>
      <c r="L298" t="s">
        <v>46</v>
      </c>
      <c r="M298" t="s">
        <v>593</v>
      </c>
      <c r="N298" t="s">
        <v>594</v>
      </c>
      <c r="O298">
        <v>0</v>
      </c>
      <c r="P298">
        <v>1</v>
      </c>
      <c r="Q298">
        <v>0</v>
      </c>
      <c r="S298">
        <v>0</v>
      </c>
      <c r="T298">
        <v>1</v>
      </c>
      <c r="U298">
        <v>3.5</v>
      </c>
      <c r="V298" t="s">
        <v>60</v>
      </c>
      <c r="W298">
        <v>2</v>
      </c>
      <c r="X298">
        <v>2</v>
      </c>
      <c r="Y298">
        <v>0</v>
      </c>
      <c r="Z298" t="s">
        <v>46</v>
      </c>
      <c r="AA298">
        <v>1</v>
      </c>
      <c r="AB298">
        <v>5</v>
      </c>
      <c r="AC298">
        <v>0</v>
      </c>
      <c r="AD298">
        <v>0</v>
      </c>
      <c r="AE298">
        <v>0</v>
      </c>
      <c r="AF298">
        <v>1</v>
      </c>
      <c r="AG298" t="s">
        <v>595</v>
      </c>
    </row>
    <row r="299" spans="1:33" x14ac:dyDescent="0.2">
      <c r="A299" t="s">
        <v>229</v>
      </c>
      <c r="B299" t="s">
        <v>41</v>
      </c>
      <c r="C299" t="s">
        <v>42</v>
      </c>
      <c r="D299">
        <v>46</v>
      </c>
      <c r="E299" t="s">
        <v>51</v>
      </c>
      <c r="F299">
        <v>6721</v>
      </c>
      <c r="G299" t="s">
        <v>44</v>
      </c>
      <c r="H299" t="s">
        <v>601</v>
      </c>
      <c r="I299">
        <v>0</v>
      </c>
      <c r="J299">
        <v>0</v>
      </c>
      <c r="K299">
        <v>0</v>
      </c>
      <c r="L299" t="s">
        <v>46</v>
      </c>
      <c r="M299" t="s">
        <v>47</v>
      </c>
      <c r="N299" t="s">
        <v>47</v>
      </c>
      <c r="O299">
        <v>0</v>
      </c>
      <c r="P299">
        <v>0</v>
      </c>
      <c r="Q299">
        <v>0</v>
      </c>
      <c r="S299">
        <v>0</v>
      </c>
      <c r="T299">
        <v>0</v>
      </c>
      <c r="U299">
        <v>0</v>
      </c>
      <c r="V299" t="s">
        <v>53</v>
      </c>
      <c r="W299">
        <v>2</v>
      </c>
      <c r="X299">
        <v>2</v>
      </c>
      <c r="Y299">
        <v>0</v>
      </c>
      <c r="Z299" t="s">
        <v>181</v>
      </c>
      <c r="AA299">
        <v>0</v>
      </c>
      <c r="AB299">
        <v>5</v>
      </c>
      <c r="AC299">
        <v>0</v>
      </c>
      <c r="AD299">
        <v>0</v>
      </c>
      <c r="AE299">
        <v>0</v>
      </c>
      <c r="AF299">
        <v>1</v>
      </c>
    </row>
    <row r="300" spans="1:33" x14ac:dyDescent="0.2">
      <c r="A300" t="s">
        <v>80</v>
      </c>
      <c r="B300" t="s">
        <v>164</v>
      </c>
      <c r="C300" t="s">
        <v>42</v>
      </c>
      <c r="D300">
        <v>46</v>
      </c>
      <c r="E300" t="s">
        <v>81</v>
      </c>
      <c r="F300">
        <v>1024</v>
      </c>
      <c r="G300" t="s">
        <v>68</v>
      </c>
      <c r="H300" t="s">
        <v>150</v>
      </c>
      <c r="I300">
        <v>1</v>
      </c>
      <c r="J300">
        <v>1</v>
      </c>
      <c r="K300">
        <v>1</v>
      </c>
      <c r="L300" t="s">
        <v>60</v>
      </c>
      <c r="M300" t="s">
        <v>602</v>
      </c>
      <c r="N300" t="s">
        <v>603</v>
      </c>
      <c r="O300">
        <v>0</v>
      </c>
      <c r="P300">
        <v>0</v>
      </c>
      <c r="Q300">
        <v>1</v>
      </c>
      <c r="R300">
        <v>6271</v>
      </c>
      <c r="S300">
        <v>1</v>
      </c>
      <c r="T300" t="s">
        <v>54</v>
      </c>
      <c r="U300">
        <v>5.8</v>
      </c>
      <c r="V300" t="s">
        <v>60</v>
      </c>
      <c r="W300">
        <v>2</v>
      </c>
      <c r="X300" t="s">
        <v>216</v>
      </c>
      <c r="Y300">
        <v>0</v>
      </c>
      <c r="Z300" t="s">
        <v>46</v>
      </c>
      <c r="AA300">
        <v>0</v>
      </c>
      <c r="AB300">
        <v>3</v>
      </c>
      <c r="AC300">
        <v>0</v>
      </c>
      <c r="AD300">
        <v>0</v>
      </c>
      <c r="AE300">
        <v>0</v>
      </c>
      <c r="AF300">
        <v>1</v>
      </c>
      <c r="AG300" t="s">
        <v>604</v>
      </c>
    </row>
    <row r="301" spans="1:33" x14ac:dyDescent="0.2">
      <c r="A301" t="s">
        <v>434</v>
      </c>
      <c r="B301" t="s">
        <v>41</v>
      </c>
      <c r="C301" t="s">
        <v>42</v>
      </c>
      <c r="D301">
        <v>46</v>
      </c>
      <c r="E301" t="s">
        <v>43</v>
      </c>
      <c r="F301">
        <v>7477</v>
      </c>
      <c r="G301" t="s">
        <v>64</v>
      </c>
      <c r="H301" t="s">
        <v>47</v>
      </c>
      <c r="I301">
        <v>0</v>
      </c>
      <c r="J301">
        <v>0</v>
      </c>
      <c r="K301">
        <v>0</v>
      </c>
      <c r="L301" t="s">
        <v>46</v>
      </c>
      <c r="M301" t="s">
        <v>47</v>
      </c>
      <c r="N301" t="s">
        <v>47</v>
      </c>
      <c r="O301">
        <v>0</v>
      </c>
      <c r="P301">
        <v>0</v>
      </c>
      <c r="Q301">
        <v>0</v>
      </c>
      <c r="S301">
        <v>0</v>
      </c>
      <c r="T301">
        <v>1</v>
      </c>
      <c r="U301">
        <v>0</v>
      </c>
      <c r="V301" t="s">
        <v>60</v>
      </c>
      <c r="W301">
        <v>0</v>
      </c>
      <c r="X301">
        <v>0</v>
      </c>
      <c r="Y301">
        <v>0</v>
      </c>
      <c r="Z301" t="s">
        <v>46</v>
      </c>
      <c r="AA301">
        <v>0</v>
      </c>
      <c r="AB301">
        <v>2</v>
      </c>
      <c r="AC301">
        <v>0</v>
      </c>
      <c r="AD301">
        <v>0</v>
      </c>
      <c r="AE301">
        <v>0</v>
      </c>
      <c r="AF301">
        <v>0</v>
      </c>
      <c r="AG301" t="s">
        <v>632</v>
      </c>
    </row>
    <row r="302" spans="1:33" x14ac:dyDescent="0.2">
      <c r="A302" t="s">
        <v>275</v>
      </c>
      <c r="B302" t="s">
        <v>41</v>
      </c>
      <c r="C302" t="s">
        <v>42</v>
      </c>
      <c r="D302">
        <v>46</v>
      </c>
      <c r="E302" t="s">
        <v>67</v>
      </c>
      <c r="F302">
        <v>3147</v>
      </c>
      <c r="G302" t="s">
        <v>106</v>
      </c>
      <c r="H302" t="s">
        <v>57</v>
      </c>
      <c r="I302">
        <v>1</v>
      </c>
      <c r="J302">
        <v>0</v>
      </c>
      <c r="K302">
        <v>1</v>
      </c>
      <c r="L302" t="s">
        <v>46</v>
      </c>
      <c r="M302" t="s">
        <v>599</v>
      </c>
      <c r="N302" t="s">
        <v>150</v>
      </c>
      <c r="O302">
        <v>0</v>
      </c>
      <c r="P302">
        <v>0</v>
      </c>
      <c r="Q302">
        <v>0</v>
      </c>
      <c r="S302">
        <v>0</v>
      </c>
      <c r="T302">
        <v>0</v>
      </c>
      <c r="U302">
        <v>0</v>
      </c>
      <c r="V302" t="s">
        <v>46</v>
      </c>
      <c r="W302">
        <v>2</v>
      </c>
      <c r="X302">
        <v>1</v>
      </c>
      <c r="Y302">
        <v>0</v>
      </c>
      <c r="Z302" t="s">
        <v>46</v>
      </c>
      <c r="AA302">
        <v>0</v>
      </c>
      <c r="AB302">
        <v>4</v>
      </c>
      <c r="AC302">
        <v>1</v>
      </c>
      <c r="AD302">
        <v>0</v>
      </c>
      <c r="AE302">
        <v>0</v>
      </c>
      <c r="AF302">
        <v>0</v>
      </c>
      <c r="AG302" t="s">
        <v>600</v>
      </c>
    </row>
    <row r="303" spans="1:33" x14ac:dyDescent="0.2">
      <c r="A303" t="s">
        <v>229</v>
      </c>
      <c r="B303" t="s">
        <v>41</v>
      </c>
      <c r="C303" t="s">
        <v>42</v>
      </c>
      <c r="D303">
        <v>47</v>
      </c>
      <c r="E303" t="s">
        <v>51</v>
      </c>
      <c r="F303">
        <v>9119</v>
      </c>
      <c r="G303" t="s">
        <v>44</v>
      </c>
      <c r="H303" t="s">
        <v>47</v>
      </c>
      <c r="I303">
        <v>0</v>
      </c>
      <c r="J303">
        <v>0</v>
      </c>
      <c r="K303">
        <v>0</v>
      </c>
      <c r="L303" t="s">
        <v>46</v>
      </c>
      <c r="M303" t="s">
        <v>47</v>
      </c>
      <c r="N303" t="s">
        <v>47</v>
      </c>
      <c r="O303">
        <v>0</v>
      </c>
      <c r="P303">
        <v>0</v>
      </c>
      <c r="Q303">
        <v>0</v>
      </c>
      <c r="S303">
        <v>0</v>
      </c>
      <c r="T303">
        <v>0</v>
      </c>
      <c r="U303">
        <v>0</v>
      </c>
      <c r="V303" t="s">
        <v>46</v>
      </c>
      <c r="W303">
        <v>1</v>
      </c>
      <c r="X303">
        <v>0</v>
      </c>
      <c r="Y303">
        <v>0</v>
      </c>
      <c r="Z303" t="s">
        <v>54</v>
      </c>
      <c r="AA303">
        <v>0</v>
      </c>
      <c r="AB303">
        <v>1</v>
      </c>
      <c r="AC303">
        <v>0</v>
      </c>
      <c r="AD303">
        <v>0</v>
      </c>
      <c r="AE303">
        <v>0</v>
      </c>
      <c r="AF303">
        <v>0</v>
      </c>
      <c r="AG303" t="s">
        <v>605</v>
      </c>
    </row>
    <row r="304" spans="1:33" x14ac:dyDescent="0.2">
      <c r="A304" t="s">
        <v>302</v>
      </c>
      <c r="B304" t="s">
        <v>164</v>
      </c>
      <c r="C304" t="s">
        <v>42</v>
      </c>
      <c r="D304">
        <v>47</v>
      </c>
      <c r="E304" t="s">
        <v>81</v>
      </c>
      <c r="F304">
        <v>9071</v>
      </c>
      <c r="G304" t="s">
        <v>106</v>
      </c>
      <c r="H304" t="s">
        <v>47</v>
      </c>
      <c r="I304">
        <v>0</v>
      </c>
      <c r="J304">
        <v>0</v>
      </c>
      <c r="K304">
        <v>0</v>
      </c>
      <c r="L304" t="s">
        <v>46</v>
      </c>
      <c r="M304" t="s">
        <v>47</v>
      </c>
      <c r="N304" t="s">
        <v>47</v>
      </c>
      <c r="O304">
        <v>0</v>
      </c>
      <c r="P304">
        <v>0</v>
      </c>
      <c r="Q304">
        <v>0</v>
      </c>
      <c r="S304">
        <v>0</v>
      </c>
      <c r="T304" t="s">
        <v>46</v>
      </c>
      <c r="U304">
        <v>0</v>
      </c>
      <c r="V304" t="s">
        <v>60</v>
      </c>
      <c r="W304">
        <v>2</v>
      </c>
      <c r="X304" t="s">
        <v>471</v>
      </c>
      <c r="Y304">
        <v>0</v>
      </c>
      <c r="Z304" t="s">
        <v>46</v>
      </c>
      <c r="AA304">
        <v>0</v>
      </c>
      <c r="AB304">
        <v>2</v>
      </c>
      <c r="AC304">
        <v>0</v>
      </c>
      <c r="AD304">
        <v>0</v>
      </c>
      <c r="AE304">
        <v>0</v>
      </c>
      <c r="AF304">
        <v>0</v>
      </c>
      <c r="AG304" t="s">
        <v>609</v>
      </c>
    </row>
    <row r="305" spans="1:33" x14ac:dyDescent="0.2">
      <c r="A305" t="s">
        <v>434</v>
      </c>
      <c r="B305" t="s">
        <v>41</v>
      </c>
      <c r="C305" t="s">
        <v>42</v>
      </c>
      <c r="D305">
        <v>47</v>
      </c>
      <c r="E305" t="s">
        <v>43</v>
      </c>
      <c r="F305">
        <v>9119</v>
      </c>
      <c r="G305" t="s">
        <v>267</v>
      </c>
      <c r="H305" t="s">
        <v>47</v>
      </c>
      <c r="I305">
        <v>0</v>
      </c>
      <c r="J305">
        <v>0</v>
      </c>
      <c r="K305">
        <v>0</v>
      </c>
      <c r="L305" t="s">
        <v>46</v>
      </c>
      <c r="M305" t="s">
        <v>47</v>
      </c>
      <c r="N305" t="s">
        <v>47</v>
      </c>
      <c r="O305">
        <v>0</v>
      </c>
      <c r="P305">
        <v>0</v>
      </c>
      <c r="Q305">
        <v>0</v>
      </c>
      <c r="S305">
        <v>0</v>
      </c>
      <c r="U305">
        <v>0</v>
      </c>
      <c r="V305" t="s">
        <v>46</v>
      </c>
      <c r="W305">
        <v>0</v>
      </c>
      <c r="X305">
        <v>0</v>
      </c>
      <c r="Y305">
        <v>0</v>
      </c>
      <c r="Z305" t="s">
        <v>46</v>
      </c>
      <c r="AA305">
        <v>0</v>
      </c>
      <c r="AB305">
        <v>1</v>
      </c>
      <c r="AC305">
        <v>0</v>
      </c>
      <c r="AD305">
        <v>0</v>
      </c>
      <c r="AE305">
        <v>0</v>
      </c>
      <c r="AF305">
        <v>0</v>
      </c>
    </row>
    <row r="306" spans="1:33" x14ac:dyDescent="0.2">
      <c r="A306" t="s">
        <v>275</v>
      </c>
      <c r="B306" t="s">
        <v>41</v>
      </c>
      <c r="C306" t="s">
        <v>42</v>
      </c>
      <c r="D306">
        <v>47</v>
      </c>
      <c r="E306" t="s">
        <v>67</v>
      </c>
      <c r="F306">
        <v>1555</v>
      </c>
      <c r="G306" t="s">
        <v>71</v>
      </c>
      <c r="H306" t="s">
        <v>47</v>
      </c>
      <c r="I306">
        <v>0</v>
      </c>
      <c r="J306">
        <v>0</v>
      </c>
      <c r="K306">
        <v>0</v>
      </c>
      <c r="L306" t="s">
        <v>46</v>
      </c>
      <c r="M306" t="s">
        <v>606</v>
      </c>
      <c r="N306" t="s">
        <v>607</v>
      </c>
      <c r="O306">
        <v>0</v>
      </c>
      <c r="P306">
        <v>0</v>
      </c>
      <c r="Q306">
        <v>0</v>
      </c>
      <c r="S306">
        <v>0</v>
      </c>
      <c r="T306">
        <v>0</v>
      </c>
      <c r="U306">
        <v>0</v>
      </c>
      <c r="V306" t="s">
        <v>46</v>
      </c>
      <c r="W306">
        <v>2</v>
      </c>
      <c r="X306">
        <v>1</v>
      </c>
      <c r="Y306">
        <v>0</v>
      </c>
      <c r="Z306" t="s">
        <v>46</v>
      </c>
      <c r="AA306">
        <v>0</v>
      </c>
      <c r="AB306">
        <v>4</v>
      </c>
      <c r="AC306">
        <v>1</v>
      </c>
      <c r="AD306">
        <v>0</v>
      </c>
      <c r="AE306">
        <v>0</v>
      </c>
      <c r="AF306">
        <v>0</v>
      </c>
      <c r="AG306" t="s">
        <v>608</v>
      </c>
    </row>
    <row r="307" spans="1:33" x14ac:dyDescent="0.2">
      <c r="A307" t="s">
        <v>229</v>
      </c>
      <c r="B307" t="s">
        <v>41</v>
      </c>
      <c r="C307" t="s">
        <v>42</v>
      </c>
      <c r="D307">
        <v>48</v>
      </c>
      <c r="E307" t="s">
        <v>51</v>
      </c>
      <c r="F307">
        <v>6956</v>
      </c>
      <c r="G307" t="s">
        <v>44</v>
      </c>
      <c r="H307" t="s">
        <v>47</v>
      </c>
      <c r="I307">
        <v>0</v>
      </c>
      <c r="J307">
        <v>0</v>
      </c>
      <c r="K307">
        <v>1</v>
      </c>
      <c r="L307" t="s">
        <v>46</v>
      </c>
      <c r="M307" t="s">
        <v>610</v>
      </c>
      <c r="N307" t="s">
        <v>611</v>
      </c>
      <c r="O307">
        <v>0</v>
      </c>
      <c r="P307">
        <v>0</v>
      </c>
      <c r="Q307">
        <v>0</v>
      </c>
      <c r="S307">
        <v>1</v>
      </c>
      <c r="T307">
        <v>3</v>
      </c>
      <c r="U307">
        <v>0</v>
      </c>
      <c r="V307" t="s">
        <v>60</v>
      </c>
      <c r="W307">
        <v>2</v>
      </c>
      <c r="X307">
        <v>2</v>
      </c>
      <c r="Y307">
        <v>1</v>
      </c>
      <c r="Z307" t="s">
        <v>46</v>
      </c>
      <c r="AA307">
        <v>0</v>
      </c>
      <c r="AB307">
        <v>4</v>
      </c>
      <c r="AC307">
        <v>0</v>
      </c>
      <c r="AD307">
        <v>0</v>
      </c>
      <c r="AE307">
        <v>0</v>
      </c>
      <c r="AF307">
        <v>1</v>
      </c>
    </row>
    <row r="308" spans="1:33" x14ac:dyDescent="0.2">
      <c r="A308" t="s">
        <v>84</v>
      </c>
      <c r="B308" t="s">
        <v>41</v>
      </c>
      <c r="C308" t="s">
        <v>42</v>
      </c>
      <c r="D308">
        <v>48</v>
      </c>
      <c r="E308" t="s">
        <v>67</v>
      </c>
      <c r="F308">
        <v>9208</v>
      </c>
      <c r="G308" t="s">
        <v>71</v>
      </c>
      <c r="H308" t="s">
        <v>47</v>
      </c>
      <c r="I308">
        <v>1</v>
      </c>
      <c r="J308">
        <v>0</v>
      </c>
      <c r="K308">
        <v>1</v>
      </c>
      <c r="L308" t="s">
        <v>46</v>
      </c>
      <c r="M308" t="s">
        <v>612</v>
      </c>
      <c r="N308" t="s">
        <v>613</v>
      </c>
      <c r="O308">
        <v>0</v>
      </c>
      <c r="P308">
        <v>1</v>
      </c>
      <c r="Q308">
        <v>0</v>
      </c>
      <c r="S308">
        <v>0</v>
      </c>
      <c r="T308">
        <v>0</v>
      </c>
      <c r="U308">
        <v>6.9</v>
      </c>
      <c r="V308" t="s">
        <v>60</v>
      </c>
      <c r="W308">
        <v>2</v>
      </c>
      <c r="X308">
        <v>2</v>
      </c>
      <c r="Y308">
        <v>0</v>
      </c>
      <c r="Z308" t="s">
        <v>49</v>
      </c>
      <c r="AA308">
        <v>0</v>
      </c>
      <c r="AB308">
        <v>4</v>
      </c>
      <c r="AC308">
        <v>0</v>
      </c>
      <c r="AD308">
        <v>0</v>
      </c>
      <c r="AE308">
        <v>0</v>
      </c>
      <c r="AF308">
        <v>1</v>
      </c>
      <c r="AG308" t="s">
        <v>614</v>
      </c>
    </row>
    <row r="309" spans="1:33" x14ac:dyDescent="0.2">
      <c r="A309" t="s">
        <v>434</v>
      </c>
      <c r="B309" t="s">
        <v>41</v>
      </c>
      <c r="C309" t="s">
        <v>42</v>
      </c>
      <c r="D309">
        <v>48</v>
      </c>
      <c r="E309" t="s">
        <v>43</v>
      </c>
      <c r="F309">
        <v>6956</v>
      </c>
      <c r="G309" t="s">
        <v>267</v>
      </c>
      <c r="H309" t="s">
        <v>47</v>
      </c>
      <c r="I309">
        <v>0</v>
      </c>
      <c r="J309">
        <v>0</v>
      </c>
      <c r="K309">
        <v>0</v>
      </c>
      <c r="L309" t="s">
        <v>46</v>
      </c>
      <c r="M309" t="s">
        <v>47</v>
      </c>
      <c r="N309" t="s">
        <v>631</v>
      </c>
      <c r="O309">
        <v>0</v>
      </c>
      <c r="P309">
        <v>0</v>
      </c>
      <c r="Q309">
        <v>0</v>
      </c>
      <c r="S309">
        <v>0</v>
      </c>
      <c r="T309">
        <v>3</v>
      </c>
      <c r="U309">
        <v>0</v>
      </c>
      <c r="V309" t="s">
        <v>60</v>
      </c>
      <c r="W309">
        <v>2</v>
      </c>
      <c r="X309">
        <v>1</v>
      </c>
      <c r="Y309">
        <v>0</v>
      </c>
      <c r="Z309" t="s">
        <v>46</v>
      </c>
      <c r="AA309">
        <v>0</v>
      </c>
      <c r="AB309">
        <v>4</v>
      </c>
      <c r="AC309">
        <v>0</v>
      </c>
      <c r="AD309">
        <v>0</v>
      </c>
      <c r="AE309">
        <v>0</v>
      </c>
      <c r="AF309">
        <v>1</v>
      </c>
    </row>
    <row r="310" spans="1:33" x14ac:dyDescent="0.2">
      <c r="A310" t="s">
        <v>84</v>
      </c>
      <c r="B310" t="s">
        <v>41</v>
      </c>
      <c r="C310" t="s">
        <v>42</v>
      </c>
      <c r="D310">
        <v>49</v>
      </c>
      <c r="E310" t="s">
        <v>67</v>
      </c>
      <c r="F310">
        <v>862</v>
      </c>
      <c r="G310" t="s">
        <v>72</v>
      </c>
      <c r="H310" t="s">
        <v>47</v>
      </c>
      <c r="I310">
        <v>0</v>
      </c>
      <c r="J310">
        <v>0</v>
      </c>
      <c r="K310">
        <v>1</v>
      </c>
      <c r="L310" t="s">
        <v>60</v>
      </c>
      <c r="M310" t="s">
        <v>615</v>
      </c>
      <c r="N310" t="s">
        <v>616</v>
      </c>
      <c r="O310">
        <v>0</v>
      </c>
      <c r="P310">
        <v>1</v>
      </c>
      <c r="Q310">
        <v>0</v>
      </c>
      <c r="S310">
        <v>1</v>
      </c>
      <c r="T310">
        <v>0</v>
      </c>
      <c r="U310">
        <v>0</v>
      </c>
      <c r="V310" t="s">
        <v>60</v>
      </c>
      <c r="W310">
        <v>2</v>
      </c>
      <c r="X310">
        <v>2</v>
      </c>
      <c r="Y310">
        <v>3</v>
      </c>
      <c r="Z310" t="s">
        <v>46</v>
      </c>
      <c r="AA310">
        <v>0</v>
      </c>
      <c r="AB310">
        <v>5</v>
      </c>
      <c r="AC310">
        <v>0</v>
      </c>
      <c r="AD310">
        <v>0</v>
      </c>
      <c r="AE310">
        <v>0</v>
      </c>
      <c r="AF310">
        <v>1</v>
      </c>
    </row>
    <row r="311" spans="1:33" x14ac:dyDescent="0.2">
      <c r="A311" t="s">
        <v>541</v>
      </c>
      <c r="B311" t="s">
        <v>41</v>
      </c>
      <c r="C311" t="s">
        <v>42</v>
      </c>
      <c r="D311">
        <v>49</v>
      </c>
      <c r="E311" t="s">
        <v>51</v>
      </c>
      <c r="F311">
        <v>3940</v>
      </c>
      <c r="G311" t="s">
        <v>64</v>
      </c>
      <c r="H311" t="s">
        <v>87</v>
      </c>
      <c r="I311">
        <v>1</v>
      </c>
      <c r="J311">
        <v>0</v>
      </c>
      <c r="K311">
        <v>1</v>
      </c>
      <c r="L311" t="s">
        <v>60</v>
      </c>
      <c r="M311" t="s">
        <v>617</v>
      </c>
      <c r="N311" t="s">
        <v>618</v>
      </c>
      <c r="O311">
        <v>0</v>
      </c>
      <c r="P311">
        <v>0</v>
      </c>
      <c r="Q311">
        <v>0</v>
      </c>
      <c r="S311">
        <v>1</v>
      </c>
      <c r="U311">
        <v>7.9</v>
      </c>
      <c r="V311" t="s">
        <v>60</v>
      </c>
      <c r="W311">
        <v>2</v>
      </c>
      <c r="X311">
        <v>2</v>
      </c>
      <c r="Y311">
        <v>2</v>
      </c>
      <c r="Z311" t="s">
        <v>46</v>
      </c>
      <c r="AA311">
        <v>0</v>
      </c>
      <c r="AB311">
        <v>5</v>
      </c>
      <c r="AC311">
        <v>0</v>
      </c>
      <c r="AD311">
        <v>0</v>
      </c>
      <c r="AE311">
        <v>0</v>
      </c>
      <c r="AF311">
        <v>1</v>
      </c>
    </row>
    <row r="312" spans="1:33" x14ac:dyDescent="0.2">
      <c r="A312" t="s">
        <v>434</v>
      </c>
      <c r="B312" t="s">
        <v>41</v>
      </c>
      <c r="C312" t="s">
        <v>42</v>
      </c>
      <c r="D312">
        <v>49</v>
      </c>
      <c r="E312" t="s">
        <v>43</v>
      </c>
      <c r="F312">
        <v>4982</v>
      </c>
      <c r="G312" t="s">
        <v>44</v>
      </c>
      <c r="H312" t="s">
        <v>47</v>
      </c>
      <c r="I312">
        <v>0</v>
      </c>
      <c r="J312">
        <v>0</v>
      </c>
      <c r="K312">
        <v>0</v>
      </c>
      <c r="L312" t="s">
        <v>46</v>
      </c>
      <c r="M312" t="s">
        <v>47</v>
      </c>
      <c r="N312" t="s">
        <v>629</v>
      </c>
      <c r="O312">
        <v>0</v>
      </c>
      <c r="P312">
        <v>0</v>
      </c>
      <c r="Q312">
        <v>0</v>
      </c>
      <c r="S312">
        <v>1</v>
      </c>
      <c r="T312">
        <v>3</v>
      </c>
      <c r="U312">
        <v>0</v>
      </c>
      <c r="V312" t="s">
        <v>60</v>
      </c>
      <c r="W312">
        <v>2</v>
      </c>
      <c r="X312">
        <v>1</v>
      </c>
      <c r="Y312">
        <v>1</v>
      </c>
      <c r="Z312" t="s">
        <v>46</v>
      </c>
      <c r="AA312">
        <v>0</v>
      </c>
      <c r="AB312">
        <v>3</v>
      </c>
      <c r="AC312">
        <v>0</v>
      </c>
      <c r="AD312">
        <v>0</v>
      </c>
      <c r="AE312">
        <v>0</v>
      </c>
      <c r="AF312">
        <v>0</v>
      </c>
    </row>
    <row r="313" spans="1:33" x14ac:dyDescent="0.2">
      <c r="A313" t="s">
        <v>84</v>
      </c>
      <c r="B313" t="s">
        <v>41</v>
      </c>
      <c r="C313" t="s">
        <v>42</v>
      </c>
      <c r="D313">
        <v>50</v>
      </c>
      <c r="E313" t="s">
        <v>67</v>
      </c>
      <c r="F313">
        <v>135</v>
      </c>
      <c r="G313" t="s">
        <v>71</v>
      </c>
      <c r="H313" t="s">
        <v>45</v>
      </c>
      <c r="I313">
        <v>0</v>
      </c>
      <c r="J313">
        <v>0</v>
      </c>
      <c r="K313">
        <v>1</v>
      </c>
      <c r="L313" t="s">
        <v>46</v>
      </c>
      <c r="M313" t="s">
        <v>619</v>
      </c>
      <c r="N313" t="s">
        <v>620</v>
      </c>
      <c r="O313">
        <v>0</v>
      </c>
      <c r="P313">
        <v>0</v>
      </c>
      <c r="Q313">
        <v>0</v>
      </c>
      <c r="S313">
        <v>0</v>
      </c>
      <c r="T313">
        <v>2</v>
      </c>
      <c r="U313">
        <v>0</v>
      </c>
      <c r="V313" t="s">
        <v>60</v>
      </c>
      <c r="W313">
        <v>1</v>
      </c>
      <c r="X313">
        <v>2</v>
      </c>
      <c r="Y313">
        <v>0</v>
      </c>
      <c r="Z313" t="s">
        <v>49</v>
      </c>
      <c r="AA313">
        <v>1</v>
      </c>
      <c r="AB313">
        <v>3</v>
      </c>
      <c r="AC313">
        <v>0</v>
      </c>
      <c r="AD313">
        <v>0</v>
      </c>
      <c r="AE313">
        <v>0</v>
      </c>
      <c r="AF313">
        <v>1</v>
      </c>
      <c r="AG313" t="s">
        <v>621</v>
      </c>
    </row>
    <row r="314" spans="1:33" x14ac:dyDescent="0.2">
      <c r="A314" t="s">
        <v>434</v>
      </c>
      <c r="B314" t="s">
        <v>41</v>
      </c>
      <c r="C314" t="s">
        <v>42</v>
      </c>
      <c r="D314">
        <v>50</v>
      </c>
      <c r="E314" t="s">
        <v>43</v>
      </c>
      <c r="F314">
        <v>2909</v>
      </c>
      <c r="G314" t="s">
        <v>44</v>
      </c>
      <c r="H314" t="s">
        <v>47</v>
      </c>
      <c r="I314">
        <v>1</v>
      </c>
      <c r="J314">
        <v>0</v>
      </c>
      <c r="K314">
        <v>0</v>
      </c>
      <c r="L314" t="s">
        <v>46</v>
      </c>
      <c r="M314" t="s">
        <v>47</v>
      </c>
      <c r="N314" t="s">
        <v>630</v>
      </c>
      <c r="O314">
        <v>0</v>
      </c>
      <c r="P314">
        <v>0</v>
      </c>
      <c r="Q314">
        <v>0</v>
      </c>
      <c r="S314">
        <v>1</v>
      </c>
      <c r="T314">
        <v>2</v>
      </c>
      <c r="U314">
        <v>0</v>
      </c>
      <c r="V314" t="s">
        <v>49</v>
      </c>
      <c r="W314">
        <v>0</v>
      </c>
      <c r="X314">
        <v>0</v>
      </c>
      <c r="Y314">
        <v>1</v>
      </c>
      <c r="Z314" t="s">
        <v>46</v>
      </c>
      <c r="AA314">
        <v>0</v>
      </c>
      <c r="AB314">
        <v>2</v>
      </c>
      <c r="AC314">
        <v>0</v>
      </c>
      <c r="AD314">
        <v>0</v>
      </c>
      <c r="AE314">
        <v>0</v>
      </c>
      <c r="AF314">
        <v>0</v>
      </c>
    </row>
    <row r="315" spans="1:33" x14ac:dyDescent="0.2">
      <c r="A315" t="s">
        <v>158</v>
      </c>
      <c r="B315" t="s">
        <v>41</v>
      </c>
      <c r="C315" t="s">
        <v>42</v>
      </c>
      <c r="D315">
        <v>51</v>
      </c>
      <c r="E315" t="s">
        <v>67</v>
      </c>
      <c r="F315">
        <v>9119</v>
      </c>
      <c r="G315" t="s">
        <v>159</v>
      </c>
      <c r="H315" t="s">
        <v>47</v>
      </c>
      <c r="I315">
        <v>0</v>
      </c>
      <c r="J315">
        <v>0</v>
      </c>
      <c r="K315">
        <v>1</v>
      </c>
      <c r="L315" t="s">
        <v>46</v>
      </c>
      <c r="M315" t="s">
        <v>47</v>
      </c>
      <c r="N315" t="s">
        <v>47</v>
      </c>
      <c r="O315">
        <v>0</v>
      </c>
      <c r="P315">
        <v>0</v>
      </c>
      <c r="Q315">
        <v>0</v>
      </c>
      <c r="S315">
        <v>0</v>
      </c>
      <c r="T315">
        <v>0</v>
      </c>
      <c r="U315">
        <v>0</v>
      </c>
      <c r="V315" t="s">
        <v>46</v>
      </c>
      <c r="W315">
        <v>2</v>
      </c>
      <c r="X315">
        <v>-1</v>
      </c>
      <c r="Y315">
        <v>0</v>
      </c>
      <c r="Z315" t="s">
        <v>46</v>
      </c>
      <c r="AA315">
        <v>0</v>
      </c>
      <c r="AB315">
        <v>2</v>
      </c>
      <c r="AC315">
        <v>1</v>
      </c>
      <c r="AD315">
        <v>0</v>
      </c>
      <c r="AE315">
        <v>0</v>
      </c>
      <c r="AF315">
        <v>0</v>
      </c>
      <c r="AG315" t="s">
        <v>633</v>
      </c>
    </row>
    <row r="316" spans="1:33" x14ac:dyDescent="0.2">
      <c r="A316" t="s">
        <v>662</v>
      </c>
      <c r="B316" t="s">
        <v>41</v>
      </c>
      <c r="C316" t="s">
        <v>42</v>
      </c>
      <c r="D316">
        <v>51</v>
      </c>
      <c r="E316" t="s">
        <v>63</v>
      </c>
      <c r="F316">
        <v>45</v>
      </c>
      <c r="G316" t="s">
        <v>44</v>
      </c>
      <c r="H316" t="s">
        <v>56</v>
      </c>
      <c r="I316">
        <v>1</v>
      </c>
      <c r="J316">
        <v>0</v>
      </c>
      <c r="K316">
        <v>1</v>
      </c>
      <c r="L316" t="s">
        <v>46</v>
      </c>
      <c r="M316" t="s">
        <v>47</v>
      </c>
      <c r="N316" t="s">
        <v>643</v>
      </c>
      <c r="O316">
        <v>0</v>
      </c>
      <c r="P316">
        <v>1</v>
      </c>
      <c r="Q316">
        <v>0</v>
      </c>
      <c r="S316">
        <v>1</v>
      </c>
      <c r="T316">
        <v>1</v>
      </c>
      <c r="U316">
        <v>0</v>
      </c>
      <c r="V316" t="s">
        <v>46</v>
      </c>
      <c r="W316">
        <v>0</v>
      </c>
      <c r="X316">
        <v>1</v>
      </c>
      <c r="Y316">
        <v>1</v>
      </c>
      <c r="Z316" t="s">
        <v>46</v>
      </c>
      <c r="AA316">
        <v>1</v>
      </c>
      <c r="AB316">
        <v>3</v>
      </c>
      <c r="AC316">
        <v>0</v>
      </c>
      <c r="AD316">
        <v>0</v>
      </c>
      <c r="AE316">
        <v>0</v>
      </c>
      <c r="AF316">
        <v>1</v>
      </c>
    </row>
    <row r="317" spans="1:33" x14ac:dyDescent="0.2">
      <c r="A317" t="s">
        <v>76</v>
      </c>
      <c r="B317" t="s">
        <v>41</v>
      </c>
      <c r="C317" t="s">
        <v>42</v>
      </c>
      <c r="D317">
        <v>51</v>
      </c>
      <c r="E317" t="s">
        <v>43</v>
      </c>
      <c r="F317">
        <v>3147</v>
      </c>
      <c r="G317" t="s">
        <v>64</v>
      </c>
      <c r="H317" t="s">
        <v>73</v>
      </c>
      <c r="I317">
        <v>1</v>
      </c>
      <c r="J317">
        <v>1</v>
      </c>
      <c r="K317">
        <v>1</v>
      </c>
      <c r="L317" t="s">
        <v>53</v>
      </c>
      <c r="M317" t="s">
        <v>47</v>
      </c>
      <c r="N317" t="s">
        <v>651</v>
      </c>
      <c r="O317">
        <v>0</v>
      </c>
      <c r="P317">
        <v>0</v>
      </c>
      <c r="Q317">
        <v>0</v>
      </c>
      <c r="S317">
        <v>1</v>
      </c>
      <c r="T317">
        <v>0</v>
      </c>
      <c r="U317">
        <v>0</v>
      </c>
      <c r="V317" t="s">
        <v>46</v>
      </c>
      <c r="W317">
        <v>1</v>
      </c>
      <c r="X317">
        <v>1</v>
      </c>
      <c r="Y317">
        <v>0</v>
      </c>
      <c r="Z317" t="s">
        <v>46</v>
      </c>
      <c r="AA317">
        <v>1</v>
      </c>
      <c r="AB317">
        <v>4</v>
      </c>
      <c r="AC317">
        <v>0</v>
      </c>
      <c r="AD317">
        <v>0</v>
      </c>
      <c r="AE317">
        <v>0</v>
      </c>
      <c r="AF317">
        <v>0</v>
      </c>
      <c r="AG317" t="s">
        <v>652</v>
      </c>
    </row>
    <row r="318" spans="1:33" x14ac:dyDescent="0.2">
      <c r="A318" t="s">
        <v>541</v>
      </c>
      <c r="B318" t="s">
        <v>41</v>
      </c>
      <c r="C318" t="s">
        <v>42</v>
      </c>
      <c r="D318">
        <v>51</v>
      </c>
      <c r="E318" t="s">
        <v>51</v>
      </c>
      <c r="F318">
        <v>3865</v>
      </c>
      <c r="G318" t="s">
        <v>56</v>
      </c>
      <c r="H318" t="s">
        <v>47</v>
      </c>
      <c r="I318">
        <v>1</v>
      </c>
      <c r="J318">
        <v>0</v>
      </c>
      <c r="K318">
        <v>1</v>
      </c>
      <c r="L318" t="s">
        <v>46</v>
      </c>
      <c r="M318" t="s">
        <v>47</v>
      </c>
      <c r="N318" t="s">
        <v>682</v>
      </c>
      <c r="O318">
        <v>0</v>
      </c>
      <c r="P318">
        <v>0</v>
      </c>
      <c r="Q318">
        <v>0</v>
      </c>
      <c r="S318">
        <v>0</v>
      </c>
      <c r="T318">
        <v>2</v>
      </c>
      <c r="U318">
        <v>0</v>
      </c>
      <c r="V318" t="s">
        <v>49</v>
      </c>
      <c r="W318">
        <v>0</v>
      </c>
      <c r="X318">
        <v>0</v>
      </c>
      <c r="Y318">
        <v>0</v>
      </c>
      <c r="Z318" t="s">
        <v>46</v>
      </c>
      <c r="AA318">
        <v>0</v>
      </c>
      <c r="AB318">
        <v>2</v>
      </c>
      <c r="AC318">
        <v>0</v>
      </c>
      <c r="AD318">
        <v>0</v>
      </c>
      <c r="AE318">
        <v>0</v>
      </c>
      <c r="AF318">
        <v>0</v>
      </c>
    </row>
    <row r="319" spans="1:33" x14ac:dyDescent="0.2">
      <c r="A319" t="s">
        <v>158</v>
      </c>
      <c r="B319" t="s">
        <v>41</v>
      </c>
      <c r="C319" t="s">
        <v>42</v>
      </c>
      <c r="D319">
        <v>52</v>
      </c>
      <c r="E319" t="s">
        <v>67</v>
      </c>
      <c r="F319">
        <v>3176</v>
      </c>
      <c r="G319" t="s">
        <v>217</v>
      </c>
      <c r="H319" t="s">
        <v>108</v>
      </c>
      <c r="I319">
        <v>0</v>
      </c>
      <c r="J319">
        <v>1</v>
      </c>
      <c r="K319">
        <v>1</v>
      </c>
      <c r="L319" t="s">
        <v>60</v>
      </c>
      <c r="M319" t="s">
        <v>47</v>
      </c>
      <c r="N319" t="s">
        <v>634</v>
      </c>
      <c r="O319">
        <v>0</v>
      </c>
      <c r="P319">
        <v>1</v>
      </c>
      <c r="Q319">
        <v>0</v>
      </c>
      <c r="S319">
        <v>1</v>
      </c>
      <c r="T319">
        <v>0</v>
      </c>
      <c r="U319">
        <v>0</v>
      </c>
      <c r="V319" t="s">
        <v>53</v>
      </c>
      <c r="W319">
        <v>3</v>
      </c>
      <c r="X319">
        <v>2</v>
      </c>
      <c r="Y319">
        <v>4</v>
      </c>
      <c r="Z319" t="s">
        <v>181</v>
      </c>
      <c r="AA319">
        <v>1</v>
      </c>
      <c r="AB319">
        <v>4</v>
      </c>
      <c r="AC319">
        <v>0</v>
      </c>
      <c r="AD319">
        <v>0</v>
      </c>
      <c r="AE319">
        <v>0</v>
      </c>
      <c r="AF319">
        <v>0</v>
      </c>
    </row>
    <row r="320" spans="1:33" x14ac:dyDescent="0.2">
      <c r="A320" t="s">
        <v>135</v>
      </c>
      <c r="B320" t="s">
        <v>41</v>
      </c>
      <c r="C320" t="s">
        <v>42</v>
      </c>
      <c r="D320">
        <v>42</v>
      </c>
      <c r="E320" t="s">
        <v>85</v>
      </c>
      <c r="F320">
        <v>8103</v>
      </c>
      <c r="G320" t="s">
        <v>56</v>
      </c>
      <c r="H320" t="s">
        <v>47</v>
      </c>
      <c r="I320">
        <v>0</v>
      </c>
      <c r="J320">
        <v>0</v>
      </c>
      <c r="K320">
        <v>0</v>
      </c>
      <c r="L320" t="s">
        <v>46</v>
      </c>
      <c r="M320" t="s">
        <v>47</v>
      </c>
      <c r="N320" t="s">
        <v>57</v>
      </c>
      <c r="O320">
        <v>0</v>
      </c>
      <c r="P320">
        <v>0</v>
      </c>
      <c r="Q320">
        <v>0</v>
      </c>
      <c r="S320">
        <v>0</v>
      </c>
      <c r="T320">
        <v>1</v>
      </c>
      <c r="U320">
        <v>0</v>
      </c>
      <c r="V320" t="s">
        <v>60</v>
      </c>
      <c r="W320">
        <v>2</v>
      </c>
      <c r="X320">
        <v>0</v>
      </c>
      <c r="Y320">
        <v>0</v>
      </c>
      <c r="Z320" t="s">
        <v>54</v>
      </c>
      <c r="AA320">
        <v>0</v>
      </c>
      <c r="AB320">
        <v>1</v>
      </c>
      <c r="AC320">
        <v>0</v>
      </c>
      <c r="AD320">
        <v>1</v>
      </c>
      <c r="AE320">
        <v>1</v>
      </c>
      <c r="AF320">
        <v>0</v>
      </c>
      <c r="AG320" t="s">
        <v>800</v>
      </c>
    </row>
    <row r="321" spans="1:33" x14ac:dyDescent="0.2">
      <c r="A321" t="s">
        <v>662</v>
      </c>
      <c r="B321" t="s">
        <v>41</v>
      </c>
      <c r="C321" t="s">
        <v>42</v>
      </c>
      <c r="D321">
        <v>52</v>
      </c>
      <c r="E321" t="s">
        <v>63</v>
      </c>
      <c r="F321">
        <v>868</v>
      </c>
      <c r="G321" t="s">
        <v>64</v>
      </c>
      <c r="H321" t="s">
        <v>87</v>
      </c>
      <c r="I321">
        <v>0</v>
      </c>
      <c r="J321">
        <v>1</v>
      </c>
      <c r="K321">
        <v>1</v>
      </c>
      <c r="L321" t="s">
        <v>60</v>
      </c>
      <c r="M321" t="s">
        <v>47</v>
      </c>
      <c r="N321" t="s">
        <v>644</v>
      </c>
      <c r="O321">
        <v>0</v>
      </c>
      <c r="P321">
        <v>0</v>
      </c>
      <c r="Q321">
        <v>0</v>
      </c>
      <c r="S321">
        <v>1</v>
      </c>
      <c r="T321">
        <v>1</v>
      </c>
      <c r="U321">
        <v>0</v>
      </c>
      <c r="V321" t="s">
        <v>60</v>
      </c>
      <c r="W321">
        <v>3</v>
      </c>
      <c r="X321">
        <v>2</v>
      </c>
      <c r="Y321">
        <v>2</v>
      </c>
      <c r="Z321" t="s">
        <v>46</v>
      </c>
      <c r="AA321">
        <v>0</v>
      </c>
      <c r="AB321">
        <v>3</v>
      </c>
      <c r="AC321">
        <v>0</v>
      </c>
      <c r="AD321">
        <v>0</v>
      </c>
      <c r="AE321">
        <v>0</v>
      </c>
      <c r="AF321">
        <v>1</v>
      </c>
      <c r="AG321" t="s">
        <v>645</v>
      </c>
    </row>
    <row r="322" spans="1:33" x14ac:dyDescent="0.2">
      <c r="A322" t="s">
        <v>76</v>
      </c>
      <c r="B322" t="s">
        <v>41</v>
      </c>
      <c r="C322" t="s">
        <v>42</v>
      </c>
      <c r="D322">
        <v>52</v>
      </c>
      <c r="E322" t="s">
        <v>43</v>
      </c>
      <c r="F322">
        <v>71</v>
      </c>
      <c r="G322" t="s">
        <v>56</v>
      </c>
      <c r="H322" t="s">
        <v>47</v>
      </c>
      <c r="I322">
        <v>1</v>
      </c>
      <c r="J322">
        <v>0</v>
      </c>
      <c r="K322">
        <v>1</v>
      </c>
      <c r="L322" t="s">
        <v>46</v>
      </c>
      <c r="M322" t="s">
        <v>47</v>
      </c>
      <c r="N322" t="s">
        <v>653</v>
      </c>
      <c r="O322">
        <v>0</v>
      </c>
      <c r="P322">
        <v>0</v>
      </c>
      <c r="Q322">
        <v>0</v>
      </c>
      <c r="S322">
        <v>1</v>
      </c>
      <c r="T322">
        <v>2</v>
      </c>
      <c r="U322">
        <v>0</v>
      </c>
      <c r="V322" t="s">
        <v>60</v>
      </c>
      <c r="W322">
        <v>3</v>
      </c>
      <c r="Y322">
        <v>0</v>
      </c>
      <c r="Z322" t="s">
        <v>46</v>
      </c>
      <c r="AA322">
        <v>0</v>
      </c>
      <c r="AB322">
        <v>5</v>
      </c>
      <c r="AC322">
        <v>0</v>
      </c>
      <c r="AD322">
        <v>1</v>
      </c>
      <c r="AE322">
        <v>0</v>
      </c>
      <c r="AF322">
        <v>1</v>
      </c>
      <c r="AG322" t="s">
        <v>654</v>
      </c>
    </row>
    <row r="323" spans="1:33" x14ac:dyDescent="0.2">
      <c r="A323" t="s">
        <v>541</v>
      </c>
      <c r="B323" t="s">
        <v>41</v>
      </c>
      <c r="C323" t="s">
        <v>42</v>
      </c>
      <c r="D323">
        <v>52</v>
      </c>
      <c r="E323" t="s">
        <v>51</v>
      </c>
      <c r="F323">
        <v>328</v>
      </c>
      <c r="G323" t="s">
        <v>44</v>
      </c>
      <c r="H323" t="s">
        <v>45</v>
      </c>
      <c r="I323">
        <v>0</v>
      </c>
      <c r="J323">
        <v>0</v>
      </c>
      <c r="K323">
        <v>0</v>
      </c>
      <c r="L323" t="s">
        <v>46</v>
      </c>
      <c r="M323" t="s">
        <v>47</v>
      </c>
      <c r="N323" t="s">
        <v>47</v>
      </c>
      <c r="O323">
        <v>0</v>
      </c>
      <c r="P323">
        <v>0</v>
      </c>
      <c r="Q323">
        <v>0</v>
      </c>
      <c r="S323">
        <v>0</v>
      </c>
      <c r="U323">
        <v>0</v>
      </c>
      <c r="V323" t="s">
        <v>60</v>
      </c>
      <c r="W323">
        <v>0</v>
      </c>
      <c r="X323">
        <v>1</v>
      </c>
      <c r="Y323">
        <v>0</v>
      </c>
      <c r="Z323" t="s">
        <v>181</v>
      </c>
      <c r="AA323">
        <v>0</v>
      </c>
      <c r="AB323">
        <v>3</v>
      </c>
      <c r="AC323">
        <v>0</v>
      </c>
      <c r="AD323">
        <v>0</v>
      </c>
      <c r="AE323">
        <v>0</v>
      </c>
      <c r="AF323">
        <v>0</v>
      </c>
    </row>
    <row r="324" spans="1:33" x14ac:dyDescent="0.2">
      <c r="A324" t="s">
        <v>158</v>
      </c>
      <c r="B324" t="s">
        <v>41</v>
      </c>
      <c r="C324" t="s">
        <v>42</v>
      </c>
      <c r="D324">
        <v>53</v>
      </c>
      <c r="E324" t="s">
        <v>67</v>
      </c>
      <c r="F324">
        <v>1024</v>
      </c>
      <c r="G324" t="s">
        <v>106</v>
      </c>
      <c r="H324" t="s">
        <v>408</v>
      </c>
      <c r="I324">
        <v>1</v>
      </c>
      <c r="J324">
        <v>0</v>
      </c>
      <c r="K324">
        <v>1</v>
      </c>
      <c r="L324" t="s">
        <v>46</v>
      </c>
      <c r="M324" t="s">
        <v>47</v>
      </c>
      <c r="N324" t="s">
        <v>635</v>
      </c>
      <c r="O324">
        <v>0</v>
      </c>
      <c r="P324">
        <v>0</v>
      </c>
      <c r="Q324">
        <v>0</v>
      </c>
      <c r="S324">
        <v>0</v>
      </c>
      <c r="T324">
        <v>2</v>
      </c>
      <c r="U324">
        <v>0</v>
      </c>
      <c r="V324" t="s">
        <v>60</v>
      </c>
      <c r="W324">
        <v>2</v>
      </c>
      <c r="X324">
        <v>-1</v>
      </c>
      <c r="Y324">
        <v>3</v>
      </c>
      <c r="Z324" t="s">
        <v>46</v>
      </c>
      <c r="AA324">
        <v>1</v>
      </c>
      <c r="AB324">
        <v>4</v>
      </c>
      <c r="AC324">
        <v>0</v>
      </c>
      <c r="AD324">
        <v>0</v>
      </c>
      <c r="AE324">
        <v>0</v>
      </c>
      <c r="AF324">
        <v>0</v>
      </c>
      <c r="AG324" t="s">
        <v>636</v>
      </c>
    </row>
    <row r="325" spans="1:33" x14ac:dyDescent="0.2">
      <c r="A325" t="s">
        <v>135</v>
      </c>
      <c r="B325" t="s">
        <v>41</v>
      </c>
      <c r="C325" t="s">
        <v>42</v>
      </c>
      <c r="D325">
        <v>43</v>
      </c>
      <c r="E325" t="s">
        <v>85</v>
      </c>
      <c r="F325">
        <v>3865</v>
      </c>
      <c r="G325" t="s">
        <v>489</v>
      </c>
      <c r="H325" t="s">
        <v>47</v>
      </c>
      <c r="I325">
        <v>0</v>
      </c>
      <c r="J325">
        <v>0</v>
      </c>
      <c r="K325">
        <v>0</v>
      </c>
      <c r="L325" t="s">
        <v>46</v>
      </c>
      <c r="M325" t="s">
        <v>47</v>
      </c>
      <c r="N325" t="s">
        <v>47</v>
      </c>
      <c r="O325">
        <v>0</v>
      </c>
      <c r="P325">
        <v>0</v>
      </c>
      <c r="Q325">
        <v>0</v>
      </c>
      <c r="S325">
        <v>0</v>
      </c>
      <c r="T325">
        <v>0</v>
      </c>
      <c r="U325">
        <v>0</v>
      </c>
      <c r="V325" t="s">
        <v>46</v>
      </c>
      <c r="W325">
        <v>0</v>
      </c>
      <c r="X325">
        <v>0</v>
      </c>
      <c r="Y325">
        <v>0</v>
      </c>
      <c r="Z325" t="s">
        <v>54</v>
      </c>
      <c r="AA325">
        <v>0</v>
      </c>
      <c r="AB325">
        <v>1</v>
      </c>
      <c r="AC325">
        <v>1</v>
      </c>
      <c r="AD325">
        <v>0</v>
      </c>
      <c r="AE325">
        <v>1</v>
      </c>
      <c r="AF325">
        <v>0</v>
      </c>
      <c r="AG325" t="s">
        <v>801</v>
      </c>
    </row>
    <row r="326" spans="1:33" x14ac:dyDescent="0.2">
      <c r="A326" t="s">
        <v>662</v>
      </c>
      <c r="B326" t="s">
        <v>41</v>
      </c>
      <c r="C326" t="s">
        <v>42</v>
      </c>
      <c r="D326">
        <v>53</v>
      </c>
      <c r="E326" t="s">
        <v>63</v>
      </c>
      <c r="F326">
        <v>3996</v>
      </c>
      <c r="G326" t="s">
        <v>56</v>
      </c>
      <c r="H326" t="s">
        <v>93</v>
      </c>
      <c r="I326">
        <v>1</v>
      </c>
      <c r="J326">
        <v>0</v>
      </c>
      <c r="K326">
        <v>1</v>
      </c>
      <c r="L326" t="s">
        <v>46</v>
      </c>
      <c r="M326" t="s">
        <v>47</v>
      </c>
      <c r="N326" t="s">
        <v>311</v>
      </c>
      <c r="O326">
        <v>0</v>
      </c>
      <c r="P326">
        <v>1</v>
      </c>
      <c r="Q326">
        <v>0</v>
      </c>
      <c r="S326">
        <v>1</v>
      </c>
      <c r="U326">
        <v>0</v>
      </c>
      <c r="V326" t="s">
        <v>53</v>
      </c>
      <c r="W326">
        <v>1</v>
      </c>
      <c r="X326">
        <v>1</v>
      </c>
      <c r="Y326">
        <v>0</v>
      </c>
      <c r="Z326" t="s">
        <v>46</v>
      </c>
      <c r="AA326">
        <v>0</v>
      </c>
      <c r="AB326">
        <v>3</v>
      </c>
      <c r="AC326">
        <v>0</v>
      </c>
      <c r="AD326">
        <v>0</v>
      </c>
      <c r="AE326">
        <v>0</v>
      </c>
      <c r="AF326">
        <v>0</v>
      </c>
      <c r="AG326" t="s">
        <v>646</v>
      </c>
    </row>
    <row r="327" spans="1:33" x14ac:dyDescent="0.2">
      <c r="A327" t="s">
        <v>76</v>
      </c>
      <c r="B327" t="s">
        <v>41</v>
      </c>
      <c r="C327" t="s">
        <v>42</v>
      </c>
      <c r="D327">
        <v>53</v>
      </c>
      <c r="E327" t="s">
        <v>43</v>
      </c>
      <c r="F327">
        <v>1501</v>
      </c>
      <c r="G327" t="s">
        <v>64</v>
      </c>
      <c r="H327" t="s">
        <v>73</v>
      </c>
      <c r="I327">
        <v>0</v>
      </c>
      <c r="J327">
        <v>0</v>
      </c>
      <c r="K327">
        <v>1</v>
      </c>
      <c r="L327" t="s">
        <v>60</v>
      </c>
      <c r="M327" t="s">
        <v>47</v>
      </c>
      <c r="N327" t="s">
        <v>655</v>
      </c>
      <c r="O327">
        <v>0</v>
      </c>
      <c r="P327">
        <v>0</v>
      </c>
      <c r="Q327">
        <v>0</v>
      </c>
      <c r="S327">
        <v>1</v>
      </c>
      <c r="T327">
        <v>0</v>
      </c>
      <c r="U327">
        <v>0</v>
      </c>
      <c r="V327" t="s">
        <v>53</v>
      </c>
      <c r="W327">
        <v>1</v>
      </c>
      <c r="Y327">
        <v>0</v>
      </c>
      <c r="Z327" t="s">
        <v>46</v>
      </c>
      <c r="AA327">
        <v>0</v>
      </c>
      <c r="AB327">
        <v>3</v>
      </c>
      <c r="AC327">
        <v>0</v>
      </c>
      <c r="AD327">
        <v>0</v>
      </c>
      <c r="AE327">
        <v>0</v>
      </c>
      <c r="AF327">
        <v>0</v>
      </c>
      <c r="AG327" t="s">
        <v>656</v>
      </c>
    </row>
    <row r="328" spans="1:33" x14ac:dyDescent="0.2">
      <c r="A328" t="s">
        <v>191</v>
      </c>
      <c r="B328" t="s">
        <v>41</v>
      </c>
      <c r="C328" t="s">
        <v>42</v>
      </c>
      <c r="D328">
        <v>53</v>
      </c>
      <c r="E328" t="s">
        <v>51</v>
      </c>
      <c r="F328">
        <v>9071</v>
      </c>
      <c r="G328" t="s">
        <v>44</v>
      </c>
      <c r="H328" t="s">
        <v>47</v>
      </c>
      <c r="I328">
        <v>1</v>
      </c>
      <c r="J328">
        <v>0</v>
      </c>
      <c r="K328">
        <v>1</v>
      </c>
      <c r="L328" t="s">
        <v>46</v>
      </c>
      <c r="M328" t="s">
        <v>47</v>
      </c>
      <c r="N328" t="s">
        <v>47</v>
      </c>
      <c r="O328">
        <v>0</v>
      </c>
      <c r="P328">
        <v>0</v>
      </c>
      <c r="Q328">
        <v>0</v>
      </c>
      <c r="S328">
        <v>0</v>
      </c>
      <c r="T328">
        <v>0</v>
      </c>
      <c r="U328">
        <v>0</v>
      </c>
      <c r="V328" t="s">
        <v>49</v>
      </c>
      <c r="W328">
        <v>0</v>
      </c>
      <c r="X328">
        <v>0</v>
      </c>
      <c r="Y328">
        <v>0</v>
      </c>
      <c r="Z328" t="s">
        <v>46</v>
      </c>
      <c r="AA328">
        <v>1</v>
      </c>
      <c r="AB328">
        <v>1</v>
      </c>
      <c r="AC328">
        <v>0</v>
      </c>
      <c r="AD328">
        <v>1</v>
      </c>
      <c r="AE328">
        <v>0</v>
      </c>
      <c r="AF328">
        <v>0</v>
      </c>
      <c r="AG328" t="s">
        <v>683</v>
      </c>
    </row>
    <row r="329" spans="1:33" x14ac:dyDescent="0.2">
      <c r="A329" t="s">
        <v>80</v>
      </c>
      <c r="B329" t="s">
        <v>164</v>
      </c>
      <c r="C329" t="s">
        <v>42</v>
      </c>
      <c r="D329">
        <v>54</v>
      </c>
      <c r="E329" t="s">
        <v>81</v>
      </c>
      <c r="F329">
        <v>5402</v>
      </c>
      <c r="G329" t="s">
        <v>71</v>
      </c>
      <c r="H329" t="s">
        <v>47</v>
      </c>
      <c r="I329">
        <v>1</v>
      </c>
      <c r="J329">
        <v>1</v>
      </c>
      <c r="K329">
        <v>1</v>
      </c>
      <c r="L329" t="s">
        <v>46</v>
      </c>
      <c r="M329" t="s">
        <v>47</v>
      </c>
      <c r="N329" t="s">
        <v>647</v>
      </c>
      <c r="O329">
        <v>0</v>
      </c>
      <c r="P329">
        <v>1</v>
      </c>
      <c r="Q329">
        <v>0</v>
      </c>
      <c r="S329">
        <v>0</v>
      </c>
      <c r="T329" t="s">
        <v>46</v>
      </c>
      <c r="U329">
        <v>0</v>
      </c>
      <c r="V329" t="s">
        <v>60</v>
      </c>
      <c r="W329">
        <v>2</v>
      </c>
      <c r="X329" t="s">
        <v>216</v>
      </c>
      <c r="Y329">
        <v>0</v>
      </c>
      <c r="Z329" t="s">
        <v>46</v>
      </c>
      <c r="AA329">
        <v>0</v>
      </c>
      <c r="AB329">
        <v>3</v>
      </c>
      <c r="AC329">
        <v>0</v>
      </c>
      <c r="AD329">
        <v>0</v>
      </c>
      <c r="AE329">
        <v>0</v>
      </c>
      <c r="AF329">
        <v>1</v>
      </c>
      <c r="AG329" t="s">
        <v>648</v>
      </c>
    </row>
    <row r="330" spans="1:33" x14ac:dyDescent="0.2">
      <c r="A330" t="s">
        <v>158</v>
      </c>
      <c r="B330" t="s">
        <v>41</v>
      </c>
      <c r="C330" t="s">
        <v>42</v>
      </c>
      <c r="D330">
        <v>54</v>
      </c>
      <c r="E330" t="s">
        <v>67</v>
      </c>
      <c r="F330">
        <v>910</v>
      </c>
      <c r="G330" t="s">
        <v>159</v>
      </c>
      <c r="H330" t="s">
        <v>427</v>
      </c>
      <c r="I330">
        <v>0</v>
      </c>
      <c r="J330">
        <v>0</v>
      </c>
      <c r="K330">
        <v>1</v>
      </c>
      <c r="L330" t="s">
        <v>60</v>
      </c>
      <c r="M330" t="s">
        <v>47</v>
      </c>
      <c r="N330" t="s">
        <v>649</v>
      </c>
      <c r="O330">
        <v>0</v>
      </c>
      <c r="P330">
        <v>1</v>
      </c>
      <c r="Q330">
        <v>0</v>
      </c>
      <c r="S330">
        <v>1</v>
      </c>
      <c r="T330">
        <v>2</v>
      </c>
      <c r="U330">
        <v>0</v>
      </c>
      <c r="V330" t="s">
        <v>141</v>
      </c>
      <c r="W330">
        <v>2</v>
      </c>
      <c r="X330">
        <v>1</v>
      </c>
      <c r="Y330">
        <v>2</v>
      </c>
      <c r="Z330" t="s">
        <v>181</v>
      </c>
      <c r="AA330">
        <v>1</v>
      </c>
      <c r="AB330">
        <v>5</v>
      </c>
      <c r="AC330">
        <v>0</v>
      </c>
      <c r="AD330">
        <v>1</v>
      </c>
      <c r="AE330">
        <v>0</v>
      </c>
      <c r="AF330">
        <v>0</v>
      </c>
      <c r="AG330" t="s">
        <v>650</v>
      </c>
    </row>
    <row r="331" spans="1:33" x14ac:dyDescent="0.2">
      <c r="A331" t="s">
        <v>76</v>
      </c>
      <c r="B331" t="s">
        <v>41</v>
      </c>
      <c r="C331" t="s">
        <v>42</v>
      </c>
      <c r="D331">
        <v>54</v>
      </c>
      <c r="E331" t="s">
        <v>43</v>
      </c>
      <c r="F331">
        <v>3487</v>
      </c>
      <c r="G331" t="s">
        <v>78</v>
      </c>
      <c r="H331" t="s">
        <v>87</v>
      </c>
      <c r="I331">
        <v>1</v>
      </c>
      <c r="J331">
        <v>1</v>
      </c>
      <c r="K331">
        <v>1</v>
      </c>
      <c r="L331" t="s">
        <v>46</v>
      </c>
      <c r="M331" t="s">
        <v>47</v>
      </c>
      <c r="N331" t="s">
        <v>613</v>
      </c>
      <c r="O331">
        <v>0</v>
      </c>
      <c r="P331">
        <v>0</v>
      </c>
      <c r="Q331">
        <v>0</v>
      </c>
      <c r="S331">
        <v>1</v>
      </c>
      <c r="T331">
        <v>3</v>
      </c>
      <c r="U331">
        <v>0</v>
      </c>
      <c r="V331" t="s">
        <v>60</v>
      </c>
      <c r="W331">
        <v>3</v>
      </c>
      <c r="X331">
        <v>2</v>
      </c>
      <c r="Y331">
        <v>0</v>
      </c>
      <c r="Z331" t="s">
        <v>46</v>
      </c>
      <c r="AA331">
        <v>0</v>
      </c>
      <c r="AB331">
        <v>4</v>
      </c>
      <c r="AC331">
        <v>0</v>
      </c>
      <c r="AD331">
        <v>0</v>
      </c>
      <c r="AE331">
        <v>0</v>
      </c>
      <c r="AF331">
        <v>0</v>
      </c>
      <c r="AG331" t="s">
        <v>657</v>
      </c>
    </row>
    <row r="332" spans="1:33" x14ac:dyDescent="0.2">
      <c r="A332" t="s">
        <v>662</v>
      </c>
      <c r="B332" t="s">
        <v>41</v>
      </c>
      <c r="C332" t="s">
        <v>42</v>
      </c>
      <c r="D332">
        <v>54</v>
      </c>
      <c r="E332" t="s">
        <v>63</v>
      </c>
      <c r="F332">
        <v>1018</v>
      </c>
      <c r="G332" t="s">
        <v>44</v>
      </c>
      <c r="H332" t="s">
        <v>45</v>
      </c>
      <c r="I332">
        <v>1</v>
      </c>
      <c r="J332">
        <v>0</v>
      </c>
      <c r="K332">
        <v>1</v>
      </c>
      <c r="L332" t="s">
        <v>46</v>
      </c>
      <c r="M332" t="s">
        <v>47</v>
      </c>
      <c r="N332" t="s">
        <v>658</v>
      </c>
      <c r="O332">
        <v>0</v>
      </c>
      <c r="P332">
        <v>1</v>
      </c>
      <c r="Q332">
        <v>0</v>
      </c>
      <c r="S332">
        <v>0</v>
      </c>
      <c r="T332">
        <v>0</v>
      </c>
      <c r="U332">
        <v>0</v>
      </c>
      <c r="V332" t="s">
        <v>60</v>
      </c>
      <c r="W332">
        <v>3</v>
      </c>
      <c r="X332">
        <v>2</v>
      </c>
      <c r="Y332">
        <v>2</v>
      </c>
      <c r="Z332" t="s">
        <v>46</v>
      </c>
      <c r="AA332">
        <v>0</v>
      </c>
      <c r="AB332">
        <v>3</v>
      </c>
      <c r="AC332">
        <v>0</v>
      </c>
      <c r="AD332">
        <v>1</v>
      </c>
      <c r="AE332">
        <v>0</v>
      </c>
      <c r="AF332">
        <v>1</v>
      </c>
      <c r="AG332" t="s">
        <v>659</v>
      </c>
    </row>
    <row r="333" spans="1:33" x14ac:dyDescent="0.2">
      <c r="A333" t="s">
        <v>76</v>
      </c>
      <c r="B333" t="s">
        <v>41</v>
      </c>
      <c r="C333" t="s">
        <v>42</v>
      </c>
      <c r="D333">
        <v>44</v>
      </c>
      <c r="E333" t="s">
        <v>85</v>
      </c>
      <c r="F333">
        <v>1501</v>
      </c>
      <c r="G333" t="s">
        <v>68</v>
      </c>
      <c r="H333" t="s">
        <v>73</v>
      </c>
      <c r="I333">
        <v>0</v>
      </c>
      <c r="J333">
        <v>1</v>
      </c>
      <c r="K333">
        <v>1</v>
      </c>
      <c r="L333" t="s">
        <v>53</v>
      </c>
      <c r="M333" t="s">
        <v>47</v>
      </c>
      <c r="N333" t="s">
        <v>585</v>
      </c>
      <c r="O333">
        <v>0</v>
      </c>
      <c r="P333">
        <v>0</v>
      </c>
      <c r="Q333">
        <v>0</v>
      </c>
      <c r="S333">
        <v>1</v>
      </c>
      <c r="T333">
        <v>0</v>
      </c>
      <c r="U333">
        <v>0</v>
      </c>
      <c r="V333" t="s">
        <v>60</v>
      </c>
      <c r="W333">
        <v>2</v>
      </c>
      <c r="X333">
        <v>2</v>
      </c>
      <c r="Y333">
        <v>2</v>
      </c>
      <c r="Z333" t="s">
        <v>46</v>
      </c>
      <c r="AA333">
        <v>0</v>
      </c>
      <c r="AB333">
        <v>5</v>
      </c>
      <c r="AC333">
        <v>0</v>
      </c>
      <c r="AD333">
        <v>0</v>
      </c>
      <c r="AE333">
        <v>0</v>
      </c>
      <c r="AF333">
        <v>1</v>
      </c>
      <c r="AG333" t="s">
        <v>586</v>
      </c>
    </row>
    <row r="334" spans="1:33" x14ac:dyDescent="0.2">
      <c r="A334" t="s">
        <v>191</v>
      </c>
      <c r="B334" t="s">
        <v>41</v>
      </c>
      <c r="C334" t="s">
        <v>42</v>
      </c>
      <c r="D334">
        <v>54</v>
      </c>
      <c r="E334" t="s">
        <v>51</v>
      </c>
      <c r="F334">
        <v>2197</v>
      </c>
      <c r="G334" t="s">
        <v>502</v>
      </c>
      <c r="H334" t="s">
        <v>96</v>
      </c>
      <c r="I334">
        <v>1</v>
      </c>
      <c r="J334">
        <v>0</v>
      </c>
      <c r="K334">
        <v>1</v>
      </c>
      <c r="L334" t="s">
        <v>46</v>
      </c>
      <c r="M334" t="s">
        <v>47</v>
      </c>
      <c r="N334" t="s">
        <v>47</v>
      </c>
      <c r="O334">
        <v>5</v>
      </c>
      <c r="P334">
        <v>0</v>
      </c>
      <c r="Q334">
        <v>0</v>
      </c>
      <c r="S334">
        <v>0</v>
      </c>
      <c r="T334">
        <v>3</v>
      </c>
      <c r="U334">
        <v>0</v>
      </c>
      <c r="V334" t="s">
        <v>60</v>
      </c>
      <c r="W334">
        <v>3</v>
      </c>
      <c r="X334">
        <v>1</v>
      </c>
      <c r="Y334">
        <v>0</v>
      </c>
      <c r="Z334" t="s">
        <v>46</v>
      </c>
      <c r="AA334">
        <v>0</v>
      </c>
      <c r="AB334">
        <v>5</v>
      </c>
      <c r="AC334">
        <v>0</v>
      </c>
      <c r="AD334">
        <v>1</v>
      </c>
      <c r="AE334">
        <v>0</v>
      </c>
      <c r="AF334">
        <v>0</v>
      </c>
      <c r="AG334" t="s">
        <v>684</v>
      </c>
    </row>
    <row r="335" spans="1:33" x14ac:dyDescent="0.2">
      <c r="A335" t="s">
        <v>80</v>
      </c>
      <c r="B335" t="s">
        <v>164</v>
      </c>
      <c r="C335" t="s">
        <v>42</v>
      </c>
      <c r="D335">
        <v>55</v>
      </c>
      <c r="E335" t="s">
        <v>81</v>
      </c>
      <c r="F335">
        <v>461</v>
      </c>
      <c r="G335" t="s">
        <v>68</v>
      </c>
      <c r="H335" t="s">
        <v>87</v>
      </c>
      <c r="I335">
        <v>1</v>
      </c>
      <c r="J335">
        <v>1</v>
      </c>
      <c r="K335">
        <v>0</v>
      </c>
      <c r="L335" t="s">
        <v>49</v>
      </c>
      <c r="M335" t="s">
        <v>47</v>
      </c>
      <c r="N335" t="s">
        <v>663</v>
      </c>
      <c r="O335">
        <v>0</v>
      </c>
      <c r="P335">
        <v>1</v>
      </c>
      <c r="Q335">
        <v>0</v>
      </c>
      <c r="S335">
        <v>0</v>
      </c>
      <c r="T335" t="s">
        <v>517</v>
      </c>
      <c r="U335">
        <v>0</v>
      </c>
      <c r="V335" t="s">
        <v>49</v>
      </c>
      <c r="W335">
        <v>1</v>
      </c>
      <c r="X335" t="s">
        <v>216</v>
      </c>
      <c r="Y335">
        <v>1</v>
      </c>
      <c r="Z335" t="s">
        <v>46</v>
      </c>
      <c r="AA335">
        <v>0</v>
      </c>
      <c r="AB335">
        <v>4</v>
      </c>
      <c r="AC335">
        <v>0</v>
      </c>
      <c r="AD335">
        <v>0</v>
      </c>
      <c r="AE335">
        <v>0</v>
      </c>
      <c r="AF335">
        <v>1</v>
      </c>
      <c r="AG335" t="s">
        <v>664</v>
      </c>
    </row>
    <row r="336" spans="1:33" x14ac:dyDescent="0.2">
      <c r="A336" t="s">
        <v>158</v>
      </c>
      <c r="B336" t="s">
        <v>41</v>
      </c>
      <c r="C336" t="s">
        <v>42</v>
      </c>
      <c r="D336">
        <v>55</v>
      </c>
      <c r="E336" t="s">
        <v>67</v>
      </c>
      <c r="F336">
        <v>8103</v>
      </c>
      <c r="G336" t="s">
        <v>71</v>
      </c>
      <c r="H336" t="s">
        <v>47</v>
      </c>
      <c r="I336">
        <v>0</v>
      </c>
      <c r="J336">
        <v>0</v>
      </c>
      <c r="K336">
        <v>1</v>
      </c>
      <c r="L336" t="s">
        <v>46</v>
      </c>
      <c r="M336" t="s">
        <v>47</v>
      </c>
      <c r="N336" t="s">
        <v>665</v>
      </c>
      <c r="O336">
        <v>0</v>
      </c>
      <c r="P336">
        <v>0</v>
      </c>
      <c r="Q336">
        <v>0</v>
      </c>
      <c r="S336">
        <v>0</v>
      </c>
      <c r="T336">
        <v>2</v>
      </c>
      <c r="U336">
        <v>0</v>
      </c>
      <c r="V336" t="s">
        <v>53</v>
      </c>
      <c r="W336">
        <v>3</v>
      </c>
      <c r="X336">
        <v>0</v>
      </c>
      <c r="Y336">
        <v>2</v>
      </c>
      <c r="Z336" t="s">
        <v>46</v>
      </c>
      <c r="AA336">
        <v>1</v>
      </c>
      <c r="AB336">
        <v>3</v>
      </c>
      <c r="AC336">
        <v>0</v>
      </c>
      <c r="AD336">
        <v>0</v>
      </c>
      <c r="AE336">
        <v>0</v>
      </c>
      <c r="AF336">
        <v>0</v>
      </c>
      <c r="AG336" t="s">
        <v>666</v>
      </c>
    </row>
    <row r="337" spans="1:33" x14ac:dyDescent="0.2">
      <c r="A337" t="s">
        <v>76</v>
      </c>
      <c r="B337" t="s">
        <v>41</v>
      </c>
      <c r="C337" t="s">
        <v>42</v>
      </c>
      <c r="D337">
        <v>55</v>
      </c>
      <c r="E337" t="s">
        <v>43</v>
      </c>
      <c r="F337">
        <v>862</v>
      </c>
      <c r="G337" t="s">
        <v>64</v>
      </c>
      <c r="H337" t="s">
        <v>129</v>
      </c>
      <c r="I337">
        <v>0</v>
      </c>
      <c r="J337">
        <v>0</v>
      </c>
      <c r="K337">
        <v>1</v>
      </c>
      <c r="L337" t="s">
        <v>60</v>
      </c>
      <c r="M337" t="s">
        <v>47</v>
      </c>
      <c r="N337" t="s">
        <v>668</v>
      </c>
      <c r="O337">
        <v>0</v>
      </c>
      <c r="P337">
        <v>0</v>
      </c>
      <c r="Q337">
        <v>0</v>
      </c>
      <c r="S337">
        <v>1</v>
      </c>
      <c r="T337">
        <v>2</v>
      </c>
      <c r="U337">
        <v>0</v>
      </c>
      <c r="V337" t="s">
        <v>60</v>
      </c>
      <c r="W337">
        <v>1</v>
      </c>
      <c r="X337">
        <v>0</v>
      </c>
      <c r="Y337">
        <v>0</v>
      </c>
      <c r="Z337" t="s">
        <v>46</v>
      </c>
      <c r="AA337">
        <v>1</v>
      </c>
      <c r="AB337">
        <v>3</v>
      </c>
      <c r="AC337">
        <v>0</v>
      </c>
      <c r="AD337">
        <v>0</v>
      </c>
      <c r="AE337">
        <v>0</v>
      </c>
      <c r="AF337">
        <v>1</v>
      </c>
      <c r="AG337" t="s">
        <v>669</v>
      </c>
    </row>
    <row r="338" spans="1:33" x14ac:dyDescent="0.2">
      <c r="A338" t="s">
        <v>463</v>
      </c>
      <c r="B338" t="s">
        <v>41</v>
      </c>
      <c r="C338" t="s">
        <v>42</v>
      </c>
      <c r="D338">
        <v>55</v>
      </c>
      <c r="E338" t="s">
        <v>63</v>
      </c>
      <c r="F338">
        <v>6956</v>
      </c>
      <c r="G338" t="s">
        <v>78</v>
      </c>
      <c r="H338" t="s">
        <v>145</v>
      </c>
      <c r="I338">
        <v>1</v>
      </c>
      <c r="J338">
        <v>0</v>
      </c>
      <c r="K338">
        <v>1</v>
      </c>
      <c r="L338" t="s">
        <v>46</v>
      </c>
      <c r="M338" t="s">
        <v>47</v>
      </c>
      <c r="N338" t="s">
        <v>670</v>
      </c>
      <c r="O338">
        <v>0</v>
      </c>
      <c r="P338">
        <v>0</v>
      </c>
      <c r="Q338">
        <v>0</v>
      </c>
      <c r="S338">
        <v>0</v>
      </c>
      <c r="T338">
        <v>1</v>
      </c>
      <c r="U338">
        <v>0</v>
      </c>
      <c r="V338" t="s">
        <v>49</v>
      </c>
      <c r="W338">
        <v>1</v>
      </c>
      <c r="X338">
        <v>1</v>
      </c>
      <c r="Y338">
        <v>0</v>
      </c>
      <c r="Z338" t="s">
        <v>46</v>
      </c>
      <c r="AA338">
        <v>0</v>
      </c>
      <c r="AB338">
        <v>3</v>
      </c>
      <c r="AC338">
        <v>0</v>
      </c>
      <c r="AD338">
        <v>0</v>
      </c>
      <c r="AE338">
        <v>0</v>
      </c>
      <c r="AF338">
        <v>1</v>
      </c>
      <c r="AG338" t="s">
        <v>671</v>
      </c>
    </row>
    <row r="339" spans="1:33" x14ac:dyDescent="0.2">
      <c r="A339" t="s">
        <v>191</v>
      </c>
      <c r="B339" t="s">
        <v>41</v>
      </c>
      <c r="C339" t="s">
        <v>42</v>
      </c>
      <c r="D339">
        <v>55</v>
      </c>
      <c r="E339" t="s">
        <v>51</v>
      </c>
      <c r="F339">
        <v>4926</v>
      </c>
      <c r="G339" t="s">
        <v>56</v>
      </c>
      <c r="H339" t="s">
        <v>48</v>
      </c>
      <c r="I339">
        <v>1</v>
      </c>
      <c r="J339">
        <v>0</v>
      </c>
      <c r="K339">
        <v>1</v>
      </c>
      <c r="L339" t="s">
        <v>46</v>
      </c>
      <c r="M339" t="s">
        <v>47</v>
      </c>
      <c r="N339" t="s">
        <v>685</v>
      </c>
      <c r="O339">
        <v>0</v>
      </c>
      <c r="P339">
        <v>0</v>
      </c>
      <c r="Q339">
        <v>0</v>
      </c>
      <c r="S339">
        <v>0</v>
      </c>
      <c r="T339">
        <v>2</v>
      </c>
      <c r="U339">
        <v>0</v>
      </c>
      <c r="V339" t="s">
        <v>141</v>
      </c>
      <c r="W339">
        <v>0</v>
      </c>
      <c r="X339">
        <v>1</v>
      </c>
      <c r="Y339">
        <v>0</v>
      </c>
      <c r="Z339" t="s">
        <v>46</v>
      </c>
      <c r="AA339">
        <v>0</v>
      </c>
      <c r="AB339">
        <v>3</v>
      </c>
      <c r="AC339">
        <v>0</v>
      </c>
      <c r="AD339">
        <v>0</v>
      </c>
      <c r="AE339">
        <v>0</v>
      </c>
      <c r="AF339">
        <v>0</v>
      </c>
      <c r="AG339" t="s">
        <v>686</v>
      </c>
    </row>
    <row r="340" spans="1:33" x14ac:dyDescent="0.2">
      <c r="A340" t="s">
        <v>80</v>
      </c>
      <c r="B340" t="s">
        <v>164</v>
      </c>
      <c r="C340" t="s">
        <v>42</v>
      </c>
      <c r="D340">
        <v>56</v>
      </c>
      <c r="E340" t="s">
        <v>81</v>
      </c>
      <c r="F340">
        <v>9119</v>
      </c>
      <c r="G340" t="s">
        <v>71</v>
      </c>
      <c r="H340" t="s">
        <v>47</v>
      </c>
      <c r="I340">
        <v>1</v>
      </c>
      <c r="J340">
        <v>1</v>
      </c>
      <c r="K340">
        <v>1</v>
      </c>
      <c r="L340" t="s">
        <v>46</v>
      </c>
      <c r="M340" t="s">
        <v>47</v>
      </c>
      <c r="N340" t="s">
        <v>47</v>
      </c>
      <c r="O340">
        <v>0</v>
      </c>
      <c r="P340">
        <v>0</v>
      </c>
      <c r="Q340">
        <v>0</v>
      </c>
      <c r="S340">
        <v>0</v>
      </c>
      <c r="T340" t="s">
        <v>46</v>
      </c>
      <c r="U340">
        <v>0</v>
      </c>
      <c r="V340" t="s">
        <v>46</v>
      </c>
      <c r="W340">
        <v>0</v>
      </c>
      <c r="X340" t="s">
        <v>471</v>
      </c>
      <c r="Y340">
        <v>0</v>
      </c>
      <c r="Z340" t="s">
        <v>46</v>
      </c>
      <c r="AA340">
        <v>0</v>
      </c>
      <c r="AB340">
        <v>3</v>
      </c>
      <c r="AC340">
        <v>0</v>
      </c>
      <c r="AD340">
        <v>0</v>
      </c>
      <c r="AE340">
        <v>0</v>
      </c>
      <c r="AF340">
        <v>0</v>
      </c>
      <c r="AG340" t="s">
        <v>672</v>
      </c>
    </row>
    <row r="341" spans="1:33" x14ac:dyDescent="0.2">
      <c r="A341" t="s">
        <v>97</v>
      </c>
      <c r="B341" t="s">
        <v>41</v>
      </c>
      <c r="C341" t="s">
        <v>42</v>
      </c>
      <c r="D341">
        <v>45</v>
      </c>
      <c r="E341" t="s">
        <v>85</v>
      </c>
      <c r="F341">
        <v>135</v>
      </c>
      <c r="G341" t="s">
        <v>92</v>
      </c>
      <c r="H341" t="s">
        <v>93</v>
      </c>
      <c r="I341">
        <v>1</v>
      </c>
      <c r="J341">
        <v>0</v>
      </c>
      <c r="K341">
        <v>1</v>
      </c>
      <c r="L341" t="s">
        <v>46</v>
      </c>
      <c r="M341" t="s">
        <v>47</v>
      </c>
      <c r="N341" t="s">
        <v>401</v>
      </c>
      <c r="O341">
        <v>0</v>
      </c>
      <c r="P341">
        <v>0</v>
      </c>
      <c r="Q341">
        <v>0</v>
      </c>
      <c r="S341">
        <v>0</v>
      </c>
      <c r="T341">
        <v>3</v>
      </c>
      <c r="U341">
        <v>0</v>
      </c>
      <c r="V341" t="s">
        <v>60</v>
      </c>
      <c r="W341">
        <v>2</v>
      </c>
      <c r="X341">
        <v>1</v>
      </c>
      <c r="Y341">
        <v>0</v>
      </c>
      <c r="Z341" t="s">
        <v>46</v>
      </c>
      <c r="AA341">
        <v>1</v>
      </c>
      <c r="AB341">
        <v>3</v>
      </c>
      <c r="AC341">
        <v>0</v>
      </c>
      <c r="AD341">
        <v>0</v>
      </c>
      <c r="AE341">
        <v>0</v>
      </c>
      <c r="AF341">
        <v>0</v>
      </c>
    </row>
    <row r="342" spans="1:33" x14ac:dyDescent="0.2">
      <c r="A342" t="s">
        <v>662</v>
      </c>
      <c r="B342" t="s">
        <v>41</v>
      </c>
      <c r="C342" t="s">
        <v>42</v>
      </c>
      <c r="D342">
        <v>56</v>
      </c>
      <c r="E342" t="s">
        <v>63</v>
      </c>
      <c r="F342">
        <v>3176</v>
      </c>
      <c r="G342" t="s">
        <v>56</v>
      </c>
      <c r="H342" t="s">
        <v>57</v>
      </c>
      <c r="I342">
        <v>0</v>
      </c>
      <c r="J342">
        <v>1</v>
      </c>
      <c r="K342">
        <v>1</v>
      </c>
      <c r="L342" t="s">
        <v>60</v>
      </c>
      <c r="M342" t="s">
        <v>47</v>
      </c>
      <c r="N342" t="s">
        <v>678</v>
      </c>
      <c r="O342">
        <v>0</v>
      </c>
      <c r="P342">
        <v>1</v>
      </c>
      <c r="Q342">
        <v>0</v>
      </c>
      <c r="S342">
        <v>1</v>
      </c>
      <c r="T342">
        <v>0</v>
      </c>
      <c r="U342">
        <v>0</v>
      </c>
      <c r="V342" t="s">
        <v>60</v>
      </c>
      <c r="W342">
        <v>2</v>
      </c>
      <c r="X342">
        <v>2</v>
      </c>
      <c r="Y342">
        <v>3</v>
      </c>
      <c r="Z342" t="s">
        <v>46</v>
      </c>
      <c r="AA342">
        <v>1</v>
      </c>
      <c r="AB342">
        <v>4</v>
      </c>
      <c r="AC342">
        <v>0</v>
      </c>
      <c r="AD342">
        <v>0</v>
      </c>
      <c r="AE342">
        <v>0</v>
      </c>
      <c r="AF342">
        <v>1</v>
      </c>
      <c r="AG342" t="s">
        <v>679</v>
      </c>
    </row>
    <row r="343" spans="1:33" x14ac:dyDescent="0.2">
      <c r="A343" t="s">
        <v>76</v>
      </c>
      <c r="B343" t="s">
        <v>41</v>
      </c>
      <c r="C343" t="s">
        <v>42</v>
      </c>
      <c r="D343">
        <v>56</v>
      </c>
      <c r="E343" t="s">
        <v>43</v>
      </c>
      <c r="F343">
        <v>3147</v>
      </c>
      <c r="G343" t="s">
        <v>44</v>
      </c>
      <c r="H343" t="s">
        <v>108</v>
      </c>
      <c r="I343">
        <v>1</v>
      </c>
      <c r="J343">
        <v>0</v>
      </c>
      <c r="K343">
        <v>1</v>
      </c>
      <c r="L343" t="s">
        <v>46</v>
      </c>
      <c r="M343" t="s">
        <v>47</v>
      </c>
      <c r="N343" t="s">
        <v>680</v>
      </c>
      <c r="O343">
        <v>0</v>
      </c>
      <c r="P343">
        <v>0</v>
      </c>
      <c r="Q343">
        <v>0</v>
      </c>
      <c r="S343">
        <v>1</v>
      </c>
      <c r="T343">
        <v>3</v>
      </c>
      <c r="U343">
        <v>0</v>
      </c>
      <c r="V343" t="s">
        <v>46</v>
      </c>
      <c r="W343">
        <v>2</v>
      </c>
      <c r="X343">
        <v>2</v>
      </c>
      <c r="Y343">
        <v>3</v>
      </c>
      <c r="Z343" t="s">
        <v>46</v>
      </c>
      <c r="AA343">
        <v>0</v>
      </c>
      <c r="AB343">
        <v>3</v>
      </c>
      <c r="AC343">
        <v>0</v>
      </c>
      <c r="AD343">
        <v>0</v>
      </c>
      <c r="AE343">
        <v>0</v>
      </c>
      <c r="AF343">
        <v>1</v>
      </c>
      <c r="AG343" t="s">
        <v>681</v>
      </c>
    </row>
    <row r="344" spans="1:33" x14ac:dyDescent="0.2">
      <c r="A344" t="s">
        <v>191</v>
      </c>
      <c r="B344" t="s">
        <v>41</v>
      </c>
      <c r="C344" t="s">
        <v>42</v>
      </c>
      <c r="D344">
        <v>56</v>
      </c>
      <c r="E344" t="s">
        <v>51</v>
      </c>
      <c r="F344">
        <v>7477</v>
      </c>
      <c r="G344" t="s">
        <v>64</v>
      </c>
      <c r="H344" t="s">
        <v>47</v>
      </c>
      <c r="I344">
        <v>0</v>
      </c>
      <c r="J344">
        <v>0</v>
      </c>
      <c r="K344">
        <v>0</v>
      </c>
      <c r="L344" t="s">
        <v>46</v>
      </c>
      <c r="M344" t="s">
        <v>47</v>
      </c>
      <c r="N344" t="s">
        <v>47</v>
      </c>
      <c r="O344">
        <v>1</v>
      </c>
      <c r="P344">
        <v>0</v>
      </c>
      <c r="Q344">
        <v>0</v>
      </c>
      <c r="S344">
        <v>0</v>
      </c>
      <c r="T344">
        <v>2</v>
      </c>
      <c r="U344">
        <v>0</v>
      </c>
      <c r="V344" t="s">
        <v>60</v>
      </c>
      <c r="W344">
        <v>2</v>
      </c>
      <c r="X344">
        <v>1</v>
      </c>
      <c r="Y344">
        <v>0</v>
      </c>
      <c r="Z344" t="s">
        <v>60</v>
      </c>
      <c r="AA344">
        <v>0</v>
      </c>
      <c r="AB344">
        <v>2</v>
      </c>
      <c r="AC344">
        <v>0</v>
      </c>
      <c r="AD344">
        <v>0</v>
      </c>
      <c r="AE344">
        <v>0</v>
      </c>
      <c r="AF344">
        <v>0</v>
      </c>
      <c r="AG344" t="s">
        <v>687</v>
      </c>
    </row>
    <row r="345" spans="1:33" x14ac:dyDescent="0.2">
      <c r="A345" t="s">
        <v>245</v>
      </c>
      <c r="B345" t="s">
        <v>41</v>
      </c>
      <c r="C345" t="s">
        <v>42</v>
      </c>
      <c r="D345">
        <v>57</v>
      </c>
      <c r="E345" t="s">
        <v>85</v>
      </c>
      <c r="F345">
        <v>135</v>
      </c>
      <c r="G345" t="s">
        <v>688</v>
      </c>
      <c r="H345" t="s">
        <v>45</v>
      </c>
      <c r="I345">
        <v>1</v>
      </c>
      <c r="J345">
        <v>0</v>
      </c>
      <c r="K345">
        <v>1</v>
      </c>
      <c r="L345" t="s">
        <v>46</v>
      </c>
      <c r="M345" t="s">
        <v>47</v>
      </c>
      <c r="N345" t="s">
        <v>69</v>
      </c>
      <c r="O345">
        <v>0</v>
      </c>
      <c r="P345">
        <v>0</v>
      </c>
      <c r="Q345">
        <v>0</v>
      </c>
      <c r="S345">
        <v>1</v>
      </c>
      <c r="T345">
        <v>1</v>
      </c>
      <c r="U345">
        <v>0</v>
      </c>
      <c r="V345" t="s">
        <v>46</v>
      </c>
      <c r="W345">
        <v>2</v>
      </c>
      <c r="X345">
        <v>1</v>
      </c>
      <c r="Y345">
        <v>0</v>
      </c>
      <c r="Z345" t="s">
        <v>46</v>
      </c>
      <c r="AA345">
        <v>1</v>
      </c>
      <c r="AB345">
        <v>3</v>
      </c>
      <c r="AC345">
        <v>1</v>
      </c>
      <c r="AD345">
        <v>0</v>
      </c>
      <c r="AE345">
        <v>0</v>
      </c>
      <c r="AF345">
        <v>0</v>
      </c>
      <c r="AG345" t="s">
        <v>689</v>
      </c>
    </row>
    <row r="346" spans="1:33" x14ac:dyDescent="0.2">
      <c r="A346" t="s">
        <v>97</v>
      </c>
      <c r="B346" t="s">
        <v>41</v>
      </c>
      <c r="C346" t="s">
        <v>42</v>
      </c>
      <c r="D346">
        <v>46</v>
      </c>
      <c r="E346" t="s">
        <v>85</v>
      </c>
      <c r="F346">
        <v>1024</v>
      </c>
      <c r="G346" t="s">
        <v>483</v>
      </c>
      <c r="H346" t="s">
        <v>706</v>
      </c>
      <c r="I346">
        <v>0</v>
      </c>
      <c r="J346">
        <v>0</v>
      </c>
      <c r="K346">
        <v>0</v>
      </c>
      <c r="L346" t="s">
        <v>60</v>
      </c>
      <c r="M346" t="s">
        <v>47</v>
      </c>
      <c r="N346" t="s">
        <v>802</v>
      </c>
      <c r="O346">
        <v>0</v>
      </c>
      <c r="P346">
        <v>0</v>
      </c>
      <c r="Q346">
        <v>1</v>
      </c>
      <c r="R346">
        <v>6721</v>
      </c>
      <c r="S346">
        <v>0</v>
      </c>
      <c r="T346">
        <v>3</v>
      </c>
      <c r="U346">
        <v>0</v>
      </c>
      <c r="V346" t="s">
        <v>60</v>
      </c>
      <c r="W346">
        <v>2</v>
      </c>
      <c r="X346">
        <v>2</v>
      </c>
      <c r="Y346">
        <v>0</v>
      </c>
      <c r="Z346" t="s">
        <v>181</v>
      </c>
      <c r="AA346">
        <v>1</v>
      </c>
      <c r="AB346">
        <v>3</v>
      </c>
      <c r="AC346">
        <v>0</v>
      </c>
      <c r="AD346">
        <v>0</v>
      </c>
      <c r="AE346">
        <v>0</v>
      </c>
      <c r="AF346">
        <v>1</v>
      </c>
    </row>
    <row r="347" spans="1:33" x14ac:dyDescent="0.2">
      <c r="A347" t="s">
        <v>84</v>
      </c>
      <c r="B347" t="s">
        <v>41</v>
      </c>
      <c r="C347" t="s">
        <v>42</v>
      </c>
      <c r="D347">
        <v>56</v>
      </c>
      <c r="E347" t="s">
        <v>67</v>
      </c>
      <c r="F347">
        <v>1555</v>
      </c>
      <c r="G347" t="s">
        <v>72</v>
      </c>
      <c r="H347" t="s">
        <v>47</v>
      </c>
      <c r="I347">
        <v>0</v>
      </c>
      <c r="J347">
        <v>0</v>
      </c>
      <c r="K347">
        <v>1</v>
      </c>
      <c r="L347" t="s">
        <v>53</v>
      </c>
      <c r="M347" t="s">
        <v>675</v>
      </c>
      <c r="N347" t="s">
        <v>676</v>
      </c>
      <c r="O347">
        <v>0</v>
      </c>
      <c r="P347">
        <v>1</v>
      </c>
      <c r="Q347">
        <v>0</v>
      </c>
      <c r="S347">
        <v>0</v>
      </c>
      <c r="T347">
        <v>0</v>
      </c>
      <c r="U347">
        <v>0</v>
      </c>
      <c r="V347" t="s">
        <v>60</v>
      </c>
      <c r="W347">
        <v>2</v>
      </c>
      <c r="X347">
        <v>2</v>
      </c>
      <c r="Y347">
        <v>0</v>
      </c>
      <c r="Z347" t="s">
        <v>181</v>
      </c>
      <c r="AA347">
        <v>0</v>
      </c>
      <c r="AB347">
        <v>3</v>
      </c>
      <c r="AC347">
        <v>0</v>
      </c>
      <c r="AD347">
        <v>0</v>
      </c>
      <c r="AE347">
        <v>0</v>
      </c>
      <c r="AF347">
        <v>1</v>
      </c>
      <c r="AG347" t="s">
        <v>677</v>
      </c>
    </row>
    <row r="348" spans="1:33" x14ac:dyDescent="0.2">
      <c r="A348" t="s">
        <v>80</v>
      </c>
      <c r="B348" t="s">
        <v>164</v>
      </c>
      <c r="C348" t="s">
        <v>42</v>
      </c>
      <c r="D348">
        <v>57</v>
      </c>
      <c r="E348" t="s">
        <v>81</v>
      </c>
      <c r="F348">
        <v>2197</v>
      </c>
      <c r="G348" t="s">
        <v>68</v>
      </c>
      <c r="H348" t="s">
        <v>47</v>
      </c>
      <c r="I348">
        <v>1</v>
      </c>
      <c r="J348">
        <v>1</v>
      </c>
      <c r="K348">
        <v>1</v>
      </c>
      <c r="L348" t="s">
        <v>60</v>
      </c>
      <c r="M348" t="s">
        <v>47</v>
      </c>
      <c r="N348" t="s">
        <v>692</v>
      </c>
      <c r="O348">
        <v>0</v>
      </c>
      <c r="P348">
        <v>0</v>
      </c>
      <c r="Q348">
        <v>0</v>
      </c>
      <c r="S348">
        <v>0</v>
      </c>
      <c r="T348" t="s">
        <v>517</v>
      </c>
      <c r="U348">
        <v>0</v>
      </c>
      <c r="V348" t="s">
        <v>60</v>
      </c>
      <c r="W348">
        <v>3</v>
      </c>
      <c r="X348" t="s">
        <v>216</v>
      </c>
      <c r="Y348">
        <v>0</v>
      </c>
      <c r="Z348" t="s">
        <v>181</v>
      </c>
      <c r="AA348">
        <v>0</v>
      </c>
      <c r="AB348">
        <v>5</v>
      </c>
      <c r="AC348">
        <v>0</v>
      </c>
      <c r="AD348">
        <v>0</v>
      </c>
      <c r="AE348">
        <v>0</v>
      </c>
      <c r="AF348">
        <v>1</v>
      </c>
      <c r="AG348" t="s">
        <v>693</v>
      </c>
    </row>
    <row r="349" spans="1:33" x14ac:dyDescent="0.2">
      <c r="A349" t="s">
        <v>463</v>
      </c>
      <c r="B349" t="s">
        <v>41</v>
      </c>
      <c r="C349" t="s">
        <v>42</v>
      </c>
      <c r="D349">
        <v>57</v>
      </c>
      <c r="E349" t="s">
        <v>63</v>
      </c>
      <c r="F349">
        <v>910</v>
      </c>
      <c r="G349" t="s">
        <v>78</v>
      </c>
      <c r="H349" t="s">
        <v>73</v>
      </c>
      <c r="I349">
        <v>0</v>
      </c>
      <c r="J349">
        <v>1</v>
      </c>
      <c r="K349">
        <v>1</v>
      </c>
      <c r="L349" t="s">
        <v>53</v>
      </c>
      <c r="M349" t="s">
        <v>47</v>
      </c>
      <c r="N349" t="s">
        <v>694</v>
      </c>
      <c r="O349">
        <v>0</v>
      </c>
      <c r="P349">
        <v>1</v>
      </c>
      <c r="Q349">
        <v>0</v>
      </c>
      <c r="S349">
        <v>1</v>
      </c>
      <c r="T349">
        <v>0</v>
      </c>
      <c r="U349">
        <v>0</v>
      </c>
      <c r="V349" t="s">
        <v>60</v>
      </c>
      <c r="W349">
        <v>2</v>
      </c>
      <c r="X349">
        <v>2</v>
      </c>
      <c r="Y349">
        <v>2</v>
      </c>
      <c r="Z349" t="s">
        <v>46</v>
      </c>
      <c r="AA349">
        <v>1</v>
      </c>
      <c r="AB349">
        <v>5</v>
      </c>
      <c r="AC349">
        <v>0</v>
      </c>
      <c r="AD349">
        <v>0</v>
      </c>
      <c r="AE349">
        <v>0</v>
      </c>
      <c r="AF349">
        <v>1</v>
      </c>
      <c r="AG349" t="s">
        <v>695</v>
      </c>
    </row>
    <row r="350" spans="1:33" x14ac:dyDescent="0.2">
      <c r="A350" t="s">
        <v>76</v>
      </c>
      <c r="B350" t="s">
        <v>41</v>
      </c>
      <c r="C350" t="s">
        <v>42</v>
      </c>
      <c r="D350">
        <v>57</v>
      </c>
      <c r="E350" t="s">
        <v>43</v>
      </c>
      <c r="F350">
        <v>71</v>
      </c>
      <c r="G350" t="s">
        <v>56</v>
      </c>
      <c r="H350" t="s">
        <v>47</v>
      </c>
      <c r="I350">
        <v>0</v>
      </c>
      <c r="J350">
        <v>1</v>
      </c>
      <c r="K350">
        <v>1</v>
      </c>
      <c r="L350" t="s">
        <v>46</v>
      </c>
      <c r="M350" t="s">
        <v>47</v>
      </c>
      <c r="N350" t="s">
        <v>696</v>
      </c>
      <c r="O350">
        <v>0</v>
      </c>
      <c r="P350">
        <v>0</v>
      </c>
      <c r="Q350">
        <v>0</v>
      </c>
      <c r="S350">
        <v>0</v>
      </c>
      <c r="T350">
        <v>2</v>
      </c>
      <c r="U350">
        <v>0</v>
      </c>
      <c r="V350" t="s">
        <v>60</v>
      </c>
      <c r="W350">
        <v>2</v>
      </c>
      <c r="X350">
        <v>1</v>
      </c>
      <c r="Y350">
        <v>0</v>
      </c>
      <c r="Z350" t="s">
        <v>54</v>
      </c>
      <c r="AA350">
        <v>1</v>
      </c>
      <c r="AB350">
        <v>4</v>
      </c>
      <c r="AC350">
        <v>0</v>
      </c>
      <c r="AD350">
        <v>1</v>
      </c>
      <c r="AE350">
        <v>0</v>
      </c>
      <c r="AF350">
        <v>1</v>
      </c>
      <c r="AG350" t="s">
        <v>697</v>
      </c>
    </row>
    <row r="351" spans="1:33" x14ac:dyDescent="0.2">
      <c r="A351" t="s">
        <v>80</v>
      </c>
      <c r="B351" t="s">
        <v>164</v>
      </c>
      <c r="C351" t="s">
        <v>42</v>
      </c>
      <c r="D351">
        <v>58</v>
      </c>
      <c r="E351" t="s">
        <v>81</v>
      </c>
      <c r="F351">
        <v>3487</v>
      </c>
      <c r="G351" t="s">
        <v>68</v>
      </c>
      <c r="H351" t="s">
        <v>47</v>
      </c>
      <c r="I351">
        <v>1</v>
      </c>
      <c r="J351">
        <v>1</v>
      </c>
      <c r="K351">
        <v>0</v>
      </c>
      <c r="L351" t="s">
        <v>46</v>
      </c>
      <c r="M351" t="s">
        <v>47</v>
      </c>
      <c r="N351" t="s">
        <v>172</v>
      </c>
      <c r="O351">
        <v>0</v>
      </c>
      <c r="P351">
        <v>0</v>
      </c>
      <c r="Q351">
        <v>0</v>
      </c>
      <c r="S351">
        <v>0</v>
      </c>
      <c r="T351" t="s">
        <v>517</v>
      </c>
      <c r="U351">
        <v>0</v>
      </c>
      <c r="V351" t="s">
        <v>60</v>
      </c>
      <c r="W351">
        <v>2</v>
      </c>
      <c r="X351" t="s">
        <v>49</v>
      </c>
      <c r="Y351">
        <v>0</v>
      </c>
      <c r="Z351" t="s">
        <v>46</v>
      </c>
      <c r="AA351">
        <v>0</v>
      </c>
      <c r="AB351">
        <v>3</v>
      </c>
      <c r="AC351">
        <v>1</v>
      </c>
      <c r="AD351">
        <v>0</v>
      </c>
      <c r="AE351">
        <v>0</v>
      </c>
      <c r="AF351">
        <v>0</v>
      </c>
      <c r="AG351" t="s">
        <v>698</v>
      </c>
    </row>
    <row r="352" spans="1:33" x14ac:dyDescent="0.2">
      <c r="A352" t="s">
        <v>112</v>
      </c>
      <c r="B352" t="s">
        <v>41</v>
      </c>
      <c r="C352" t="s">
        <v>42</v>
      </c>
      <c r="D352">
        <v>57</v>
      </c>
      <c r="E352" t="s">
        <v>67</v>
      </c>
      <c r="F352">
        <v>2197</v>
      </c>
      <c r="G352" t="s">
        <v>72</v>
      </c>
      <c r="H352" t="s">
        <v>47</v>
      </c>
      <c r="I352">
        <v>1</v>
      </c>
      <c r="J352">
        <v>1</v>
      </c>
      <c r="K352">
        <v>1</v>
      </c>
      <c r="L352" t="s">
        <v>60</v>
      </c>
      <c r="M352" t="s">
        <v>47</v>
      </c>
      <c r="N352" t="s">
        <v>690</v>
      </c>
      <c r="O352">
        <v>0</v>
      </c>
      <c r="P352">
        <v>0</v>
      </c>
      <c r="Q352">
        <v>0</v>
      </c>
      <c r="S352">
        <v>0</v>
      </c>
      <c r="T352">
        <v>1</v>
      </c>
      <c r="U352">
        <v>0</v>
      </c>
      <c r="V352" t="s">
        <v>60</v>
      </c>
      <c r="W352">
        <v>3</v>
      </c>
      <c r="X352">
        <v>2</v>
      </c>
      <c r="Y352">
        <v>0</v>
      </c>
      <c r="Z352" t="s">
        <v>49</v>
      </c>
      <c r="AA352">
        <v>1</v>
      </c>
      <c r="AB352">
        <v>4</v>
      </c>
      <c r="AC352">
        <v>0</v>
      </c>
      <c r="AD352">
        <v>1</v>
      </c>
      <c r="AE352">
        <v>0</v>
      </c>
      <c r="AF352">
        <v>1</v>
      </c>
      <c r="AG352" t="s">
        <v>691</v>
      </c>
    </row>
    <row r="353" spans="1:33" x14ac:dyDescent="0.2">
      <c r="A353" t="s">
        <v>245</v>
      </c>
      <c r="B353" t="s">
        <v>41</v>
      </c>
      <c r="C353" t="s">
        <v>42</v>
      </c>
      <c r="D353">
        <v>58</v>
      </c>
      <c r="E353" t="s">
        <v>51</v>
      </c>
      <c r="F353">
        <v>8103</v>
      </c>
      <c r="G353" t="s">
        <v>44</v>
      </c>
      <c r="H353" t="s">
        <v>47</v>
      </c>
      <c r="I353">
        <v>1</v>
      </c>
      <c r="J353">
        <v>0</v>
      </c>
      <c r="K353">
        <v>0</v>
      </c>
      <c r="L353" t="s">
        <v>46</v>
      </c>
      <c r="M353" t="s">
        <v>47</v>
      </c>
      <c r="N353" t="s">
        <v>702</v>
      </c>
      <c r="O353">
        <v>0</v>
      </c>
      <c r="P353">
        <v>0</v>
      </c>
      <c r="Q353">
        <v>0</v>
      </c>
      <c r="S353">
        <v>0</v>
      </c>
      <c r="T353">
        <v>2</v>
      </c>
      <c r="U353">
        <v>0</v>
      </c>
      <c r="V353" t="s">
        <v>46</v>
      </c>
      <c r="W353">
        <v>0</v>
      </c>
      <c r="X353">
        <v>1</v>
      </c>
      <c r="Y353">
        <v>0</v>
      </c>
      <c r="Z353" t="s">
        <v>46</v>
      </c>
      <c r="AA353">
        <v>0</v>
      </c>
      <c r="AB353">
        <v>3</v>
      </c>
      <c r="AC353">
        <v>0</v>
      </c>
      <c r="AD353">
        <v>0</v>
      </c>
      <c r="AE353">
        <v>1</v>
      </c>
      <c r="AF353">
        <v>0</v>
      </c>
      <c r="AG353" t="s">
        <v>703</v>
      </c>
    </row>
    <row r="354" spans="1:33" x14ac:dyDescent="0.2">
      <c r="A354" t="s">
        <v>463</v>
      </c>
      <c r="B354" t="s">
        <v>41</v>
      </c>
      <c r="C354" t="s">
        <v>42</v>
      </c>
      <c r="D354">
        <v>58</v>
      </c>
      <c r="E354" t="s">
        <v>63</v>
      </c>
      <c r="F354">
        <v>4982</v>
      </c>
      <c r="G354" t="s">
        <v>78</v>
      </c>
      <c r="H354" t="s">
        <v>47</v>
      </c>
      <c r="I354">
        <v>0</v>
      </c>
      <c r="J354">
        <v>0</v>
      </c>
      <c r="K354">
        <v>0</v>
      </c>
      <c r="L354" t="s">
        <v>46</v>
      </c>
      <c r="M354" t="s">
        <v>47</v>
      </c>
      <c r="N354" t="s">
        <v>704</v>
      </c>
      <c r="O354">
        <v>0</v>
      </c>
      <c r="P354">
        <v>1</v>
      </c>
      <c r="Q354">
        <v>0</v>
      </c>
      <c r="S354">
        <v>0</v>
      </c>
      <c r="T354">
        <v>2</v>
      </c>
      <c r="U354">
        <v>0</v>
      </c>
      <c r="V354" t="s">
        <v>49</v>
      </c>
      <c r="W354">
        <v>0</v>
      </c>
      <c r="X354">
        <v>1</v>
      </c>
      <c r="Y354">
        <v>0</v>
      </c>
      <c r="Z354" t="s">
        <v>46</v>
      </c>
      <c r="AA354">
        <v>0</v>
      </c>
      <c r="AB354">
        <v>3</v>
      </c>
      <c r="AC354">
        <v>0</v>
      </c>
      <c r="AD354">
        <v>0</v>
      </c>
      <c r="AE354">
        <v>0</v>
      </c>
      <c r="AF354">
        <v>0</v>
      </c>
      <c r="AG354" t="s">
        <v>705</v>
      </c>
    </row>
    <row r="355" spans="1:33" x14ac:dyDescent="0.2">
      <c r="A355" t="s">
        <v>76</v>
      </c>
      <c r="B355" t="s">
        <v>41</v>
      </c>
      <c r="C355" t="s">
        <v>42</v>
      </c>
      <c r="D355">
        <v>58</v>
      </c>
      <c r="E355" t="s">
        <v>43</v>
      </c>
      <c r="F355">
        <v>6721</v>
      </c>
      <c r="G355" t="s">
        <v>56</v>
      </c>
      <c r="H355" t="s">
        <v>706</v>
      </c>
      <c r="I355">
        <v>1</v>
      </c>
      <c r="J355">
        <v>0</v>
      </c>
      <c r="K355">
        <v>1</v>
      </c>
      <c r="L355" t="s">
        <v>46</v>
      </c>
      <c r="M355" t="s">
        <v>47</v>
      </c>
      <c r="N355" t="s">
        <v>47</v>
      </c>
      <c r="O355">
        <v>0</v>
      </c>
      <c r="P355">
        <v>0</v>
      </c>
      <c r="Q355">
        <v>0</v>
      </c>
      <c r="S355">
        <v>0</v>
      </c>
      <c r="T355">
        <v>0</v>
      </c>
      <c r="U355">
        <v>0</v>
      </c>
      <c r="V355" t="s">
        <v>53</v>
      </c>
      <c r="W355">
        <v>1</v>
      </c>
      <c r="X355">
        <v>2</v>
      </c>
      <c r="Y355">
        <v>0</v>
      </c>
      <c r="Z355" t="s">
        <v>60</v>
      </c>
      <c r="AA355">
        <v>0</v>
      </c>
      <c r="AB355">
        <v>3</v>
      </c>
      <c r="AC355">
        <v>0</v>
      </c>
      <c r="AD355">
        <v>0</v>
      </c>
      <c r="AE355">
        <v>0</v>
      </c>
      <c r="AF355">
        <v>1</v>
      </c>
      <c r="AG355" t="s">
        <v>707</v>
      </c>
    </row>
    <row r="356" spans="1:33" x14ac:dyDescent="0.2">
      <c r="A356" t="s">
        <v>97</v>
      </c>
      <c r="B356" t="s">
        <v>41</v>
      </c>
      <c r="C356" t="s">
        <v>42</v>
      </c>
      <c r="D356">
        <v>47</v>
      </c>
      <c r="E356" t="s">
        <v>85</v>
      </c>
      <c r="F356">
        <v>71</v>
      </c>
      <c r="G356" t="s">
        <v>68</v>
      </c>
      <c r="H356" t="s">
        <v>47</v>
      </c>
      <c r="I356">
        <v>0</v>
      </c>
      <c r="J356">
        <v>0</v>
      </c>
      <c r="K356">
        <v>0</v>
      </c>
      <c r="L356" t="s">
        <v>53</v>
      </c>
      <c r="M356" t="s">
        <v>47</v>
      </c>
      <c r="N356" t="s">
        <v>803</v>
      </c>
      <c r="O356">
        <v>0</v>
      </c>
      <c r="P356">
        <v>0</v>
      </c>
      <c r="Q356">
        <v>0</v>
      </c>
      <c r="S356">
        <v>0</v>
      </c>
      <c r="T356">
        <v>2</v>
      </c>
      <c r="U356">
        <v>0</v>
      </c>
      <c r="V356" t="s">
        <v>60</v>
      </c>
      <c r="W356">
        <v>2</v>
      </c>
      <c r="X356">
        <v>1</v>
      </c>
      <c r="Y356">
        <v>0</v>
      </c>
      <c r="Z356" t="s">
        <v>49</v>
      </c>
      <c r="AA356">
        <v>0</v>
      </c>
      <c r="AB356">
        <v>3</v>
      </c>
      <c r="AC356">
        <v>0</v>
      </c>
      <c r="AD356">
        <v>0</v>
      </c>
      <c r="AE356">
        <v>0</v>
      </c>
      <c r="AF356">
        <v>1</v>
      </c>
    </row>
    <row r="357" spans="1:33" x14ac:dyDescent="0.2">
      <c r="A357" t="s">
        <v>97</v>
      </c>
      <c r="B357" t="s">
        <v>41</v>
      </c>
      <c r="C357" t="s">
        <v>42</v>
      </c>
      <c r="D357">
        <v>48</v>
      </c>
      <c r="E357" t="s">
        <v>85</v>
      </c>
      <c r="F357">
        <v>910</v>
      </c>
      <c r="G357" t="s">
        <v>804</v>
      </c>
      <c r="H357" t="s">
        <v>57</v>
      </c>
      <c r="I357">
        <v>1</v>
      </c>
      <c r="J357">
        <v>0</v>
      </c>
      <c r="K357">
        <v>1</v>
      </c>
      <c r="L357" t="s">
        <v>46</v>
      </c>
      <c r="M357" t="s">
        <v>47</v>
      </c>
      <c r="N357" t="s">
        <v>805</v>
      </c>
      <c r="O357">
        <v>0</v>
      </c>
      <c r="P357">
        <v>0</v>
      </c>
      <c r="Q357">
        <v>0</v>
      </c>
      <c r="S357">
        <v>1</v>
      </c>
      <c r="T357">
        <v>3</v>
      </c>
      <c r="U357">
        <v>0</v>
      </c>
      <c r="V357" t="s">
        <v>141</v>
      </c>
      <c r="W357">
        <v>2</v>
      </c>
      <c r="X357">
        <v>1</v>
      </c>
      <c r="Y357">
        <v>0</v>
      </c>
      <c r="Z357" t="s">
        <v>49</v>
      </c>
      <c r="AA357">
        <v>1</v>
      </c>
      <c r="AB357">
        <v>3</v>
      </c>
      <c r="AC357">
        <v>0</v>
      </c>
      <c r="AD357">
        <v>0</v>
      </c>
      <c r="AE357">
        <v>0</v>
      </c>
      <c r="AF357">
        <v>0</v>
      </c>
    </row>
    <row r="358" spans="1:33" x14ac:dyDescent="0.2">
      <c r="A358" t="s">
        <v>245</v>
      </c>
      <c r="B358" t="s">
        <v>41</v>
      </c>
      <c r="C358" t="s">
        <v>42</v>
      </c>
      <c r="D358">
        <v>59</v>
      </c>
      <c r="E358" t="s">
        <v>51</v>
      </c>
      <c r="F358">
        <v>9208</v>
      </c>
      <c r="G358" t="s">
        <v>44</v>
      </c>
      <c r="H358" t="s">
        <v>45</v>
      </c>
      <c r="I358">
        <v>1</v>
      </c>
      <c r="J358">
        <v>0</v>
      </c>
      <c r="K358">
        <v>0</v>
      </c>
      <c r="L358" t="s">
        <v>46</v>
      </c>
      <c r="M358" t="s">
        <v>47</v>
      </c>
      <c r="N358" t="s">
        <v>710</v>
      </c>
      <c r="O358">
        <v>0</v>
      </c>
      <c r="P358">
        <v>1</v>
      </c>
      <c r="Q358">
        <v>0</v>
      </c>
      <c r="S358">
        <v>1</v>
      </c>
      <c r="T358">
        <v>0</v>
      </c>
      <c r="U358">
        <v>0</v>
      </c>
      <c r="V358" t="s">
        <v>46</v>
      </c>
      <c r="W358">
        <v>0</v>
      </c>
      <c r="X358">
        <v>1</v>
      </c>
      <c r="Y358">
        <v>0</v>
      </c>
      <c r="Z358" t="s">
        <v>46</v>
      </c>
      <c r="AA358">
        <v>0</v>
      </c>
      <c r="AB358">
        <v>3</v>
      </c>
      <c r="AC358">
        <v>0</v>
      </c>
      <c r="AD358">
        <v>0</v>
      </c>
      <c r="AE358">
        <v>0</v>
      </c>
      <c r="AF358">
        <v>0</v>
      </c>
      <c r="AG358" t="s">
        <v>711</v>
      </c>
    </row>
    <row r="359" spans="1:33" x14ac:dyDescent="0.2">
      <c r="A359" t="s">
        <v>112</v>
      </c>
      <c r="B359" t="s">
        <v>41</v>
      </c>
      <c r="C359" t="s">
        <v>42</v>
      </c>
      <c r="D359">
        <v>58</v>
      </c>
      <c r="E359" t="s">
        <v>67</v>
      </c>
      <c r="F359">
        <v>1474</v>
      </c>
      <c r="G359" t="s">
        <v>106</v>
      </c>
      <c r="H359" t="s">
        <v>48</v>
      </c>
      <c r="I359">
        <v>0</v>
      </c>
      <c r="J359">
        <v>0</v>
      </c>
      <c r="K359">
        <v>1</v>
      </c>
      <c r="L359" t="s">
        <v>46</v>
      </c>
      <c r="M359" t="s">
        <v>699</v>
      </c>
      <c r="N359" t="s">
        <v>700</v>
      </c>
      <c r="O359">
        <v>0</v>
      </c>
      <c r="P359">
        <v>1</v>
      </c>
      <c r="Q359">
        <v>0</v>
      </c>
      <c r="S359">
        <v>0</v>
      </c>
      <c r="T359">
        <v>0</v>
      </c>
      <c r="U359">
        <v>12.6</v>
      </c>
      <c r="V359" t="s">
        <v>60</v>
      </c>
      <c r="W359">
        <v>2</v>
      </c>
      <c r="X359">
        <v>2</v>
      </c>
      <c r="Y359">
        <v>0</v>
      </c>
      <c r="Z359" t="s">
        <v>181</v>
      </c>
      <c r="AA359">
        <v>1</v>
      </c>
      <c r="AB359">
        <v>4</v>
      </c>
      <c r="AC359">
        <v>0</v>
      </c>
      <c r="AD359">
        <v>0</v>
      </c>
      <c r="AE359">
        <v>0</v>
      </c>
      <c r="AF359">
        <v>1</v>
      </c>
      <c r="AG359" t="s">
        <v>701</v>
      </c>
    </row>
    <row r="360" spans="1:33" x14ac:dyDescent="0.2">
      <c r="A360" t="s">
        <v>167</v>
      </c>
      <c r="B360" t="s">
        <v>41</v>
      </c>
      <c r="C360" t="s">
        <v>42</v>
      </c>
      <c r="D360">
        <v>59</v>
      </c>
      <c r="E360" t="s">
        <v>63</v>
      </c>
      <c r="F360">
        <v>3865</v>
      </c>
      <c r="G360" t="s">
        <v>56</v>
      </c>
      <c r="H360" t="s">
        <v>47</v>
      </c>
      <c r="I360">
        <v>0</v>
      </c>
      <c r="J360">
        <v>0</v>
      </c>
      <c r="K360">
        <v>1</v>
      </c>
      <c r="L360" t="s">
        <v>46</v>
      </c>
      <c r="M360" t="s">
        <v>47</v>
      </c>
      <c r="N360" t="s">
        <v>48</v>
      </c>
      <c r="O360">
        <v>0</v>
      </c>
      <c r="P360">
        <v>1</v>
      </c>
      <c r="Q360">
        <v>0</v>
      </c>
      <c r="S360">
        <v>0</v>
      </c>
      <c r="T360">
        <v>2</v>
      </c>
      <c r="U360">
        <v>0</v>
      </c>
      <c r="V360" t="s">
        <v>53</v>
      </c>
      <c r="W360">
        <v>2</v>
      </c>
      <c r="X360">
        <v>1</v>
      </c>
      <c r="Y360">
        <v>0</v>
      </c>
      <c r="Z360" t="s">
        <v>46</v>
      </c>
      <c r="AA360">
        <v>0</v>
      </c>
      <c r="AB360">
        <v>3</v>
      </c>
      <c r="AC360">
        <v>0</v>
      </c>
      <c r="AD360">
        <v>1</v>
      </c>
      <c r="AE360">
        <v>0</v>
      </c>
      <c r="AF360">
        <v>0</v>
      </c>
      <c r="AG360" t="s">
        <v>714</v>
      </c>
    </row>
    <row r="361" spans="1:33" x14ac:dyDescent="0.2">
      <c r="A361" t="s">
        <v>76</v>
      </c>
      <c r="B361" t="s">
        <v>41</v>
      </c>
      <c r="C361" t="s">
        <v>42</v>
      </c>
      <c r="D361">
        <v>59</v>
      </c>
      <c r="E361" t="s">
        <v>43</v>
      </c>
      <c r="F361">
        <v>1024</v>
      </c>
      <c r="G361" t="s">
        <v>64</v>
      </c>
      <c r="H361" t="s">
        <v>129</v>
      </c>
      <c r="I361">
        <v>0</v>
      </c>
      <c r="J361">
        <v>0</v>
      </c>
      <c r="K361">
        <v>0</v>
      </c>
      <c r="L361" t="s">
        <v>53</v>
      </c>
      <c r="M361" t="s">
        <v>47</v>
      </c>
      <c r="N361" t="s">
        <v>715</v>
      </c>
      <c r="O361">
        <v>0</v>
      </c>
      <c r="P361">
        <v>0</v>
      </c>
      <c r="Q361">
        <v>0</v>
      </c>
      <c r="S361">
        <v>1</v>
      </c>
      <c r="T361">
        <v>3</v>
      </c>
      <c r="U361">
        <v>0</v>
      </c>
      <c r="V361" t="s">
        <v>53</v>
      </c>
      <c r="W361">
        <v>0</v>
      </c>
      <c r="X361">
        <v>2</v>
      </c>
      <c r="Y361">
        <v>0</v>
      </c>
      <c r="Z361" t="s">
        <v>46</v>
      </c>
      <c r="AA361">
        <v>0</v>
      </c>
      <c r="AB361">
        <v>5</v>
      </c>
      <c r="AC361">
        <v>0</v>
      </c>
      <c r="AD361">
        <v>0</v>
      </c>
      <c r="AE361">
        <v>0</v>
      </c>
      <c r="AF361">
        <v>1</v>
      </c>
      <c r="AG361" t="s">
        <v>716</v>
      </c>
    </row>
    <row r="362" spans="1:33" x14ac:dyDescent="0.2">
      <c r="A362" t="s">
        <v>302</v>
      </c>
      <c r="B362" t="s">
        <v>164</v>
      </c>
      <c r="C362" t="s">
        <v>42</v>
      </c>
      <c r="D362">
        <v>59</v>
      </c>
      <c r="E362" t="s">
        <v>81</v>
      </c>
      <c r="F362">
        <v>3940</v>
      </c>
      <c r="G362" t="s">
        <v>106</v>
      </c>
      <c r="H362" t="s">
        <v>93</v>
      </c>
      <c r="I362">
        <v>0</v>
      </c>
      <c r="J362">
        <v>0</v>
      </c>
      <c r="K362">
        <v>1</v>
      </c>
      <c r="L362" t="s">
        <v>46</v>
      </c>
      <c r="M362" t="s">
        <v>47</v>
      </c>
      <c r="N362" t="s">
        <v>717</v>
      </c>
      <c r="O362">
        <v>0</v>
      </c>
      <c r="P362">
        <v>1</v>
      </c>
      <c r="Q362">
        <v>0</v>
      </c>
      <c r="S362">
        <v>1</v>
      </c>
      <c r="T362" t="s">
        <v>54</v>
      </c>
      <c r="U362">
        <v>0</v>
      </c>
      <c r="V362" t="s">
        <v>60</v>
      </c>
      <c r="W362">
        <v>3</v>
      </c>
      <c r="X362" t="s">
        <v>216</v>
      </c>
      <c r="Y362">
        <v>2</v>
      </c>
      <c r="Z362" t="s">
        <v>46</v>
      </c>
      <c r="AA362">
        <v>0</v>
      </c>
      <c r="AB362">
        <v>5</v>
      </c>
      <c r="AC362">
        <v>0</v>
      </c>
      <c r="AD362">
        <v>0</v>
      </c>
      <c r="AE362">
        <v>0</v>
      </c>
      <c r="AF362">
        <v>1</v>
      </c>
      <c r="AG362" t="s">
        <v>718</v>
      </c>
    </row>
    <row r="363" spans="1:33" x14ac:dyDescent="0.2">
      <c r="A363" t="s">
        <v>245</v>
      </c>
      <c r="B363" t="s">
        <v>41</v>
      </c>
      <c r="C363" t="s">
        <v>42</v>
      </c>
      <c r="D363">
        <v>60</v>
      </c>
      <c r="E363" t="s">
        <v>51</v>
      </c>
      <c r="F363">
        <v>461</v>
      </c>
      <c r="G363" t="s">
        <v>44</v>
      </c>
      <c r="H363" t="s">
        <v>45</v>
      </c>
      <c r="I363">
        <v>1</v>
      </c>
      <c r="J363">
        <v>0</v>
      </c>
      <c r="K363">
        <v>0</v>
      </c>
      <c r="L363" t="s">
        <v>46</v>
      </c>
      <c r="M363" t="s">
        <v>47</v>
      </c>
      <c r="N363" t="s">
        <v>719</v>
      </c>
      <c r="O363">
        <v>0</v>
      </c>
      <c r="P363">
        <v>1</v>
      </c>
      <c r="Q363">
        <v>0</v>
      </c>
      <c r="S363">
        <v>1</v>
      </c>
      <c r="T363">
        <v>3</v>
      </c>
      <c r="U363">
        <v>0</v>
      </c>
      <c r="V363" t="s">
        <v>60</v>
      </c>
      <c r="W363">
        <v>2</v>
      </c>
      <c r="X363">
        <v>2</v>
      </c>
      <c r="Y363">
        <v>0</v>
      </c>
      <c r="Z363" t="s">
        <v>49</v>
      </c>
      <c r="AA363">
        <v>0</v>
      </c>
      <c r="AB363">
        <v>4</v>
      </c>
      <c r="AC363">
        <v>0</v>
      </c>
      <c r="AD363">
        <v>0</v>
      </c>
      <c r="AE363">
        <v>0</v>
      </c>
      <c r="AF363">
        <v>1</v>
      </c>
      <c r="AG363" t="s">
        <v>720</v>
      </c>
    </row>
    <row r="364" spans="1:33" x14ac:dyDescent="0.2">
      <c r="A364" t="s">
        <v>97</v>
      </c>
      <c r="B364" t="s">
        <v>41</v>
      </c>
      <c r="C364" t="s">
        <v>42</v>
      </c>
      <c r="D364">
        <v>49</v>
      </c>
      <c r="E364" t="s">
        <v>85</v>
      </c>
      <c r="F364">
        <v>8103</v>
      </c>
      <c r="G364" t="s">
        <v>106</v>
      </c>
      <c r="H364" t="s">
        <v>47</v>
      </c>
      <c r="I364">
        <v>1</v>
      </c>
      <c r="J364">
        <v>0</v>
      </c>
      <c r="K364">
        <v>1</v>
      </c>
      <c r="L364" t="s">
        <v>46</v>
      </c>
      <c r="M364" t="s">
        <v>47</v>
      </c>
      <c r="N364" t="s">
        <v>806</v>
      </c>
      <c r="O364">
        <v>0</v>
      </c>
      <c r="P364">
        <v>0</v>
      </c>
      <c r="Q364">
        <v>0</v>
      </c>
      <c r="S364">
        <v>1</v>
      </c>
      <c r="T364">
        <v>2</v>
      </c>
      <c r="U364">
        <v>0</v>
      </c>
      <c r="V364" t="s">
        <v>60</v>
      </c>
      <c r="W364">
        <v>2</v>
      </c>
      <c r="Y364">
        <v>0</v>
      </c>
      <c r="Z364" t="s">
        <v>46</v>
      </c>
      <c r="AA364">
        <v>0</v>
      </c>
      <c r="AB364">
        <v>3</v>
      </c>
      <c r="AC364">
        <v>0</v>
      </c>
      <c r="AD364">
        <v>0</v>
      </c>
      <c r="AE364">
        <v>0</v>
      </c>
      <c r="AF364">
        <v>0</v>
      </c>
    </row>
    <row r="365" spans="1:33" x14ac:dyDescent="0.2">
      <c r="A365" t="s">
        <v>167</v>
      </c>
      <c r="B365" t="s">
        <v>41</v>
      </c>
      <c r="C365" t="s">
        <v>42</v>
      </c>
      <c r="D365">
        <v>60</v>
      </c>
      <c r="E365" t="s">
        <v>63</v>
      </c>
      <c r="F365">
        <v>4926</v>
      </c>
      <c r="G365" t="s">
        <v>64</v>
      </c>
      <c r="H365" t="s">
        <v>45</v>
      </c>
      <c r="I365">
        <v>0</v>
      </c>
      <c r="J365">
        <v>1</v>
      </c>
      <c r="K365">
        <v>1</v>
      </c>
      <c r="L365" t="s">
        <v>60</v>
      </c>
      <c r="M365" t="s">
        <v>47</v>
      </c>
      <c r="N365" t="s">
        <v>47</v>
      </c>
      <c r="O365">
        <v>3</v>
      </c>
      <c r="P365">
        <v>1</v>
      </c>
      <c r="Q365">
        <v>0</v>
      </c>
      <c r="S365">
        <v>1</v>
      </c>
      <c r="T365">
        <v>3</v>
      </c>
      <c r="U365">
        <v>0</v>
      </c>
      <c r="V365" t="s">
        <v>60</v>
      </c>
      <c r="W365">
        <v>2</v>
      </c>
      <c r="X365">
        <v>2</v>
      </c>
      <c r="Y365">
        <v>0</v>
      </c>
      <c r="Z365" t="s">
        <v>46</v>
      </c>
      <c r="AA365">
        <v>0</v>
      </c>
      <c r="AB365">
        <v>4</v>
      </c>
      <c r="AC365">
        <v>0</v>
      </c>
      <c r="AD365">
        <v>0</v>
      </c>
      <c r="AE365">
        <v>0</v>
      </c>
      <c r="AF365">
        <v>1</v>
      </c>
      <c r="AG365" t="s">
        <v>722</v>
      </c>
    </row>
    <row r="366" spans="1:33" x14ac:dyDescent="0.2">
      <c r="A366" t="s">
        <v>76</v>
      </c>
      <c r="B366" t="s">
        <v>41</v>
      </c>
      <c r="C366" t="s">
        <v>42</v>
      </c>
      <c r="D366">
        <v>60</v>
      </c>
      <c r="E366" t="s">
        <v>43</v>
      </c>
      <c r="F366">
        <v>9071</v>
      </c>
      <c r="G366" t="s">
        <v>56</v>
      </c>
      <c r="H366" t="s">
        <v>408</v>
      </c>
      <c r="I366">
        <v>1</v>
      </c>
      <c r="J366">
        <v>0</v>
      </c>
      <c r="K366">
        <v>0</v>
      </c>
      <c r="L366" t="s">
        <v>46</v>
      </c>
      <c r="M366" t="s">
        <v>47</v>
      </c>
      <c r="N366" t="s">
        <v>217</v>
      </c>
      <c r="O366">
        <v>0</v>
      </c>
      <c r="P366">
        <v>0</v>
      </c>
      <c r="Q366">
        <v>0</v>
      </c>
      <c r="S366">
        <v>0</v>
      </c>
      <c r="T366">
        <v>1</v>
      </c>
      <c r="U366">
        <v>0</v>
      </c>
      <c r="V366" t="s">
        <v>46</v>
      </c>
      <c r="W366">
        <v>2</v>
      </c>
      <c r="X366">
        <v>0</v>
      </c>
      <c r="Y366">
        <v>0</v>
      </c>
      <c r="Z366" t="s">
        <v>46</v>
      </c>
      <c r="AA366">
        <v>1</v>
      </c>
      <c r="AB366">
        <v>3</v>
      </c>
      <c r="AC366">
        <v>0</v>
      </c>
      <c r="AD366">
        <v>0</v>
      </c>
      <c r="AE366">
        <v>0</v>
      </c>
      <c r="AF366">
        <v>0</v>
      </c>
      <c r="AG366" t="s">
        <v>723</v>
      </c>
    </row>
    <row r="367" spans="1:33" x14ac:dyDescent="0.2">
      <c r="A367" t="s">
        <v>112</v>
      </c>
      <c r="B367" t="s">
        <v>41</v>
      </c>
      <c r="C367" t="s">
        <v>42</v>
      </c>
      <c r="D367">
        <v>59</v>
      </c>
      <c r="E367" t="s">
        <v>67</v>
      </c>
      <c r="F367">
        <v>862</v>
      </c>
      <c r="G367" t="s">
        <v>68</v>
      </c>
      <c r="H367" t="s">
        <v>47</v>
      </c>
      <c r="I367">
        <v>1</v>
      </c>
      <c r="J367">
        <v>0</v>
      </c>
      <c r="K367">
        <v>1</v>
      </c>
      <c r="L367" t="s">
        <v>46</v>
      </c>
      <c r="M367" t="s">
        <v>47</v>
      </c>
      <c r="N367" t="s">
        <v>712</v>
      </c>
      <c r="O367">
        <v>0</v>
      </c>
      <c r="P367">
        <v>1</v>
      </c>
      <c r="Q367">
        <v>0</v>
      </c>
      <c r="S367">
        <v>0</v>
      </c>
      <c r="T367">
        <v>2</v>
      </c>
      <c r="U367">
        <v>6.7</v>
      </c>
      <c r="V367" t="s">
        <v>60</v>
      </c>
      <c r="W367">
        <v>3</v>
      </c>
      <c r="X367">
        <v>2</v>
      </c>
      <c r="Y367">
        <v>0</v>
      </c>
      <c r="Z367" t="s">
        <v>46</v>
      </c>
      <c r="AA367">
        <v>1</v>
      </c>
      <c r="AB367">
        <v>3</v>
      </c>
      <c r="AC367">
        <v>0</v>
      </c>
      <c r="AD367">
        <v>0</v>
      </c>
      <c r="AE367">
        <v>0</v>
      </c>
      <c r="AF367">
        <v>1</v>
      </c>
      <c r="AG367" t="s">
        <v>713</v>
      </c>
    </row>
    <row r="368" spans="1:33" x14ac:dyDescent="0.2">
      <c r="A368" t="s">
        <v>302</v>
      </c>
      <c r="B368" t="s">
        <v>164</v>
      </c>
      <c r="C368" t="s">
        <v>42</v>
      </c>
      <c r="D368">
        <v>60</v>
      </c>
      <c r="E368" t="s">
        <v>81</v>
      </c>
      <c r="F368">
        <v>6956</v>
      </c>
      <c r="G368" t="s">
        <v>106</v>
      </c>
      <c r="H368" t="s">
        <v>48</v>
      </c>
      <c r="I368">
        <v>1</v>
      </c>
      <c r="J368">
        <v>0</v>
      </c>
      <c r="K368">
        <v>1</v>
      </c>
      <c r="L368" t="s">
        <v>46</v>
      </c>
      <c r="M368" t="s">
        <v>47</v>
      </c>
      <c r="N368" t="s">
        <v>458</v>
      </c>
      <c r="O368">
        <v>0</v>
      </c>
      <c r="P368">
        <v>0</v>
      </c>
      <c r="Q368">
        <v>0</v>
      </c>
      <c r="S368">
        <v>1</v>
      </c>
      <c r="T368" t="s">
        <v>517</v>
      </c>
      <c r="U368">
        <v>0</v>
      </c>
      <c r="V368" t="s">
        <v>46</v>
      </c>
      <c r="W368">
        <v>2</v>
      </c>
      <c r="X368" t="s">
        <v>49</v>
      </c>
      <c r="Y368">
        <v>1</v>
      </c>
      <c r="Z368" t="s">
        <v>46</v>
      </c>
      <c r="AA368">
        <v>0</v>
      </c>
      <c r="AB368">
        <v>3</v>
      </c>
      <c r="AC368">
        <v>0</v>
      </c>
      <c r="AD368">
        <v>0</v>
      </c>
      <c r="AE368">
        <v>0</v>
      </c>
      <c r="AF368">
        <v>0</v>
      </c>
      <c r="AG368" t="s">
        <v>726</v>
      </c>
    </row>
    <row r="369" spans="1:33" x14ac:dyDescent="0.2">
      <c r="A369" t="s">
        <v>245</v>
      </c>
      <c r="B369" t="s">
        <v>41</v>
      </c>
      <c r="C369" t="s">
        <v>42</v>
      </c>
      <c r="D369">
        <v>61</v>
      </c>
      <c r="E369" t="s">
        <v>51</v>
      </c>
      <c r="F369">
        <v>5402</v>
      </c>
      <c r="G369" t="s">
        <v>56</v>
      </c>
      <c r="H369" t="s">
        <v>47</v>
      </c>
      <c r="I369">
        <v>0</v>
      </c>
      <c r="J369">
        <v>1</v>
      </c>
      <c r="K369">
        <v>0</v>
      </c>
      <c r="L369" t="s">
        <v>46</v>
      </c>
      <c r="M369" t="s">
        <v>47</v>
      </c>
      <c r="N369" t="s">
        <v>727</v>
      </c>
      <c r="O369">
        <v>0</v>
      </c>
      <c r="P369">
        <v>1</v>
      </c>
      <c r="Q369">
        <v>0</v>
      </c>
      <c r="S369">
        <v>1</v>
      </c>
      <c r="T369">
        <v>3</v>
      </c>
      <c r="U369">
        <v>0</v>
      </c>
      <c r="V369" t="s">
        <v>60</v>
      </c>
      <c r="W369">
        <v>2</v>
      </c>
      <c r="X369">
        <v>2</v>
      </c>
      <c r="Y369">
        <v>0</v>
      </c>
      <c r="Z369" t="s">
        <v>46</v>
      </c>
      <c r="AA369">
        <v>0</v>
      </c>
      <c r="AB369">
        <v>4</v>
      </c>
      <c r="AC369">
        <v>0</v>
      </c>
      <c r="AD369">
        <v>0</v>
      </c>
      <c r="AE369">
        <v>0</v>
      </c>
      <c r="AF369">
        <v>1</v>
      </c>
      <c r="AG369" t="s">
        <v>728</v>
      </c>
    </row>
    <row r="370" spans="1:33" x14ac:dyDescent="0.2">
      <c r="A370" t="s">
        <v>302</v>
      </c>
      <c r="B370" t="s">
        <v>164</v>
      </c>
      <c r="C370" t="s">
        <v>42</v>
      </c>
      <c r="D370">
        <v>61</v>
      </c>
      <c r="E370" t="s">
        <v>81</v>
      </c>
      <c r="F370">
        <v>328</v>
      </c>
      <c r="G370" t="s">
        <v>72</v>
      </c>
      <c r="H370" t="s">
        <v>87</v>
      </c>
      <c r="I370">
        <v>0</v>
      </c>
      <c r="J370">
        <v>0</v>
      </c>
      <c r="K370">
        <v>1</v>
      </c>
      <c r="L370" t="s">
        <v>49</v>
      </c>
      <c r="M370" t="s">
        <v>47</v>
      </c>
      <c r="N370" t="s">
        <v>729</v>
      </c>
      <c r="O370">
        <v>0</v>
      </c>
      <c r="P370">
        <v>0</v>
      </c>
      <c r="Q370">
        <v>0</v>
      </c>
      <c r="S370">
        <v>1</v>
      </c>
      <c r="T370" t="s">
        <v>186</v>
      </c>
      <c r="U370">
        <v>0</v>
      </c>
      <c r="V370" t="s">
        <v>60</v>
      </c>
      <c r="W370">
        <v>2</v>
      </c>
      <c r="X370" t="s">
        <v>49</v>
      </c>
      <c r="Y370">
        <v>0</v>
      </c>
      <c r="Z370" t="s">
        <v>46</v>
      </c>
      <c r="AA370">
        <v>0</v>
      </c>
      <c r="AB370">
        <v>3</v>
      </c>
      <c r="AC370">
        <v>0</v>
      </c>
      <c r="AD370">
        <v>0</v>
      </c>
      <c r="AE370">
        <v>0</v>
      </c>
      <c r="AF370">
        <v>0</v>
      </c>
      <c r="AG370" t="s">
        <v>730</v>
      </c>
    </row>
    <row r="371" spans="1:33" x14ac:dyDescent="0.2">
      <c r="A371" t="s">
        <v>167</v>
      </c>
      <c r="B371" t="s">
        <v>41</v>
      </c>
      <c r="C371" t="s">
        <v>42</v>
      </c>
      <c r="D371">
        <v>61</v>
      </c>
      <c r="E371" t="s">
        <v>63</v>
      </c>
      <c r="F371">
        <v>3936</v>
      </c>
      <c r="G371" t="s">
        <v>44</v>
      </c>
      <c r="H371" t="s">
        <v>45</v>
      </c>
      <c r="I371">
        <v>1</v>
      </c>
      <c r="J371">
        <v>0</v>
      </c>
      <c r="K371">
        <v>1</v>
      </c>
      <c r="L371" t="s">
        <v>46</v>
      </c>
      <c r="M371" t="s">
        <v>47</v>
      </c>
      <c r="N371" t="s">
        <v>47</v>
      </c>
      <c r="O371">
        <v>0</v>
      </c>
      <c r="P371">
        <v>1</v>
      </c>
      <c r="Q371">
        <v>0</v>
      </c>
      <c r="S371">
        <v>0</v>
      </c>
      <c r="T371">
        <v>0</v>
      </c>
      <c r="U371">
        <v>0</v>
      </c>
      <c r="V371" t="s">
        <v>46</v>
      </c>
      <c r="W371">
        <v>2</v>
      </c>
      <c r="X371">
        <v>1</v>
      </c>
      <c r="Y371">
        <v>0</v>
      </c>
      <c r="Z371" t="s">
        <v>46</v>
      </c>
      <c r="AA371">
        <v>0</v>
      </c>
      <c r="AB371">
        <v>3</v>
      </c>
      <c r="AC371">
        <v>1</v>
      </c>
      <c r="AD371">
        <v>0</v>
      </c>
      <c r="AE371">
        <v>0</v>
      </c>
      <c r="AF371">
        <v>0</v>
      </c>
      <c r="AG371" t="s">
        <v>731</v>
      </c>
    </row>
    <row r="372" spans="1:33" x14ac:dyDescent="0.2">
      <c r="A372" t="s">
        <v>112</v>
      </c>
      <c r="B372" t="s">
        <v>41</v>
      </c>
      <c r="C372" t="s">
        <v>42</v>
      </c>
      <c r="D372">
        <v>60</v>
      </c>
      <c r="E372" t="s">
        <v>67</v>
      </c>
      <c r="F372">
        <v>1018</v>
      </c>
      <c r="G372" t="s">
        <v>68</v>
      </c>
      <c r="H372" t="s">
        <v>47</v>
      </c>
      <c r="I372">
        <v>1</v>
      </c>
      <c r="J372">
        <v>0</v>
      </c>
      <c r="K372">
        <v>1</v>
      </c>
      <c r="L372" t="s">
        <v>46</v>
      </c>
      <c r="M372" t="s">
        <v>47</v>
      </c>
      <c r="N372" t="s">
        <v>724</v>
      </c>
      <c r="O372">
        <v>0</v>
      </c>
      <c r="P372">
        <v>1</v>
      </c>
      <c r="Q372">
        <v>0</v>
      </c>
      <c r="S372">
        <v>0</v>
      </c>
      <c r="T372">
        <v>3</v>
      </c>
      <c r="U372">
        <v>0</v>
      </c>
      <c r="V372" t="s">
        <v>60</v>
      </c>
      <c r="W372">
        <v>2</v>
      </c>
      <c r="X372">
        <v>2</v>
      </c>
      <c r="Y372">
        <v>1</v>
      </c>
      <c r="Z372" t="s">
        <v>46</v>
      </c>
      <c r="AA372">
        <v>1</v>
      </c>
      <c r="AB372">
        <v>5</v>
      </c>
      <c r="AC372">
        <v>0</v>
      </c>
      <c r="AD372">
        <v>1</v>
      </c>
      <c r="AE372">
        <v>0</v>
      </c>
      <c r="AF372">
        <v>1</v>
      </c>
      <c r="AG372" t="s">
        <v>725</v>
      </c>
    </row>
    <row r="373" spans="1:33" x14ac:dyDescent="0.2">
      <c r="A373" t="s">
        <v>50</v>
      </c>
      <c r="B373" t="s">
        <v>41</v>
      </c>
      <c r="C373" t="s">
        <v>42</v>
      </c>
      <c r="D373">
        <v>61</v>
      </c>
      <c r="E373" t="s">
        <v>51</v>
      </c>
      <c r="F373">
        <v>1555</v>
      </c>
      <c r="G373" t="s">
        <v>71</v>
      </c>
      <c r="H373" t="s">
        <v>47</v>
      </c>
      <c r="I373">
        <v>1</v>
      </c>
      <c r="J373">
        <v>0</v>
      </c>
      <c r="K373">
        <v>1</v>
      </c>
      <c r="L373" t="s">
        <v>46</v>
      </c>
      <c r="M373" t="s">
        <v>47</v>
      </c>
      <c r="N373" t="s">
        <v>733</v>
      </c>
      <c r="O373">
        <v>0</v>
      </c>
      <c r="P373">
        <v>1</v>
      </c>
      <c r="Q373">
        <v>0</v>
      </c>
      <c r="S373">
        <v>0</v>
      </c>
      <c r="T373">
        <v>0</v>
      </c>
      <c r="U373">
        <v>0</v>
      </c>
      <c r="V373" t="s">
        <v>60</v>
      </c>
      <c r="W373">
        <v>2</v>
      </c>
      <c r="X373">
        <v>0</v>
      </c>
      <c r="Y373">
        <v>0</v>
      </c>
      <c r="Z373" t="s">
        <v>46</v>
      </c>
      <c r="AA373">
        <v>1</v>
      </c>
      <c r="AB373">
        <v>2</v>
      </c>
      <c r="AC373">
        <v>0</v>
      </c>
      <c r="AD373">
        <v>0</v>
      </c>
      <c r="AE373">
        <v>0</v>
      </c>
      <c r="AF373">
        <v>0</v>
      </c>
      <c r="AG373" t="s">
        <v>734</v>
      </c>
    </row>
    <row r="374" spans="1:33" x14ac:dyDescent="0.2">
      <c r="A374" t="s">
        <v>76</v>
      </c>
      <c r="B374" t="s">
        <v>41</v>
      </c>
      <c r="C374" t="s">
        <v>42</v>
      </c>
      <c r="D374">
        <v>61</v>
      </c>
      <c r="E374" t="s">
        <v>43</v>
      </c>
      <c r="F374">
        <v>45</v>
      </c>
      <c r="G374" t="s">
        <v>64</v>
      </c>
      <c r="H374" t="s">
        <v>47</v>
      </c>
      <c r="I374">
        <v>0</v>
      </c>
      <c r="J374">
        <v>0</v>
      </c>
      <c r="K374">
        <v>0</v>
      </c>
      <c r="L374" t="s">
        <v>53</v>
      </c>
      <c r="M374" t="s">
        <v>47</v>
      </c>
      <c r="N374" t="s">
        <v>735</v>
      </c>
      <c r="O374">
        <v>0</v>
      </c>
      <c r="P374">
        <v>0</v>
      </c>
      <c r="Q374">
        <v>0</v>
      </c>
      <c r="S374">
        <v>0</v>
      </c>
      <c r="T374">
        <v>2</v>
      </c>
      <c r="U374">
        <v>0</v>
      </c>
      <c r="V374" t="s">
        <v>60</v>
      </c>
      <c r="W374">
        <v>2</v>
      </c>
      <c r="X374">
        <v>1</v>
      </c>
      <c r="Y374">
        <v>0</v>
      </c>
      <c r="Z374" t="s">
        <v>46</v>
      </c>
      <c r="AA374">
        <v>1</v>
      </c>
      <c r="AB374">
        <v>4</v>
      </c>
      <c r="AC374">
        <v>0</v>
      </c>
      <c r="AD374">
        <v>0</v>
      </c>
      <c r="AE374">
        <v>0</v>
      </c>
      <c r="AF374">
        <v>0</v>
      </c>
      <c r="AG374" t="s">
        <v>736</v>
      </c>
    </row>
    <row r="375" spans="1:33" x14ac:dyDescent="0.2">
      <c r="A375" t="s">
        <v>245</v>
      </c>
      <c r="B375" t="s">
        <v>41</v>
      </c>
      <c r="C375" t="s">
        <v>42</v>
      </c>
      <c r="D375">
        <v>62</v>
      </c>
      <c r="E375" t="s">
        <v>51</v>
      </c>
      <c r="F375">
        <v>2909</v>
      </c>
      <c r="G375" t="s">
        <v>267</v>
      </c>
      <c r="H375" t="s">
        <v>47</v>
      </c>
      <c r="I375">
        <v>1</v>
      </c>
      <c r="J375">
        <v>0</v>
      </c>
      <c r="K375">
        <v>0</v>
      </c>
      <c r="L375" t="s">
        <v>46</v>
      </c>
      <c r="M375" t="s">
        <v>47</v>
      </c>
      <c r="N375" t="s">
        <v>502</v>
      </c>
      <c r="O375">
        <v>0</v>
      </c>
      <c r="P375">
        <v>0</v>
      </c>
      <c r="Q375">
        <v>0</v>
      </c>
      <c r="S375">
        <v>0</v>
      </c>
      <c r="U375">
        <v>0</v>
      </c>
      <c r="V375" t="s">
        <v>46</v>
      </c>
      <c r="W375">
        <v>0</v>
      </c>
      <c r="X375">
        <v>0</v>
      </c>
      <c r="Y375">
        <v>0</v>
      </c>
      <c r="Z375" t="s">
        <v>46</v>
      </c>
      <c r="AA375">
        <v>0</v>
      </c>
      <c r="AB375">
        <v>1</v>
      </c>
      <c r="AC375">
        <v>0</v>
      </c>
      <c r="AD375">
        <v>0</v>
      </c>
      <c r="AE375">
        <v>0</v>
      </c>
      <c r="AF375">
        <v>0</v>
      </c>
      <c r="AG375" t="s">
        <v>737</v>
      </c>
    </row>
    <row r="376" spans="1:33" x14ac:dyDescent="0.2">
      <c r="A376" t="s">
        <v>167</v>
      </c>
      <c r="B376" t="s">
        <v>41</v>
      </c>
      <c r="C376" t="s">
        <v>42</v>
      </c>
      <c r="D376">
        <v>62</v>
      </c>
      <c r="E376" t="s">
        <v>63</v>
      </c>
      <c r="F376">
        <v>3147</v>
      </c>
      <c r="G376" t="s">
        <v>64</v>
      </c>
      <c r="H376" t="s">
        <v>57</v>
      </c>
      <c r="I376">
        <v>0</v>
      </c>
      <c r="J376">
        <v>1</v>
      </c>
      <c r="K376">
        <v>1</v>
      </c>
      <c r="L376" t="s">
        <v>46</v>
      </c>
      <c r="M376" t="s">
        <v>47</v>
      </c>
      <c r="N376" t="s">
        <v>485</v>
      </c>
      <c r="O376">
        <v>0</v>
      </c>
      <c r="P376">
        <v>1</v>
      </c>
      <c r="Q376">
        <v>0</v>
      </c>
      <c r="S376">
        <v>0</v>
      </c>
      <c r="T376">
        <v>1</v>
      </c>
      <c r="U376">
        <v>0</v>
      </c>
      <c r="V376" t="s">
        <v>53</v>
      </c>
      <c r="W376">
        <v>2</v>
      </c>
      <c r="X376">
        <v>1</v>
      </c>
      <c r="Y376">
        <v>0</v>
      </c>
      <c r="Z376" t="s">
        <v>46</v>
      </c>
      <c r="AA376">
        <v>0</v>
      </c>
      <c r="AB376">
        <v>4</v>
      </c>
      <c r="AC376">
        <v>0</v>
      </c>
      <c r="AD376">
        <v>1</v>
      </c>
      <c r="AE376">
        <v>0</v>
      </c>
      <c r="AF376">
        <v>0</v>
      </c>
      <c r="AG376" t="s">
        <v>738</v>
      </c>
    </row>
    <row r="377" spans="1:33" x14ac:dyDescent="0.2">
      <c r="A377" t="s">
        <v>76</v>
      </c>
      <c r="B377" t="s">
        <v>41</v>
      </c>
      <c r="C377" t="s">
        <v>42</v>
      </c>
      <c r="D377">
        <v>62</v>
      </c>
      <c r="E377" t="s">
        <v>43</v>
      </c>
      <c r="F377">
        <v>910</v>
      </c>
      <c r="G377" t="s">
        <v>64</v>
      </c>
      <c r="H377" t="s">
        <v>520</v>
      </c>
      <c r="I377">
        <v>0</v>
      </c>
      <c r="J377">
        <v>0</v>
      </c>
      <c r="K377">
        <v>1</v>
      </c>
      <c r="L377" t="s">
        <v>53</v>
      </c>
      <c r="M377" t="s">
        <v>47</v>
      </c>
      <c r="N377" t="s">
        <v>739</v>
      </c>
      <c r="O377">
        <v>0</v>
      </c>
      <c r="P377">
        <v>0</v>
      </c>
      <c r="Q377">
        <v>0</v>
      </c>
      <c r="S377">
        <v>1</v>
      </c>
      <c r="T377">
        <v>3</v>
      </c>
      <c r="U377">
        <v>0</v>
      </c>
      <c r="V377" t="s">
        <v>53</v>
      </c>
      <c r="W377">
        <v>2</v>
      </c>
      <c r="X377">
        <v>1</v>
      </c>
      <c r="Y377">
        <v>0</v>
      </c>
      <c r="Z377" t="s">
        <v>46</v>
      </c>
      <c r="AA377">
        <v>1</v>
      </c>
      <c r="AB377">
        <v>4</v>
      </c>
      <c r="AC377">
        <v>0</v>
      </c>
      <c r="AD377">
        <v>0</v>
      </c>
      <c r="AE377">
        <v>0</v>
      </c>
      <c r="AF377">
        <v>1</v>
      </c>
      <c r="AG377" t="s">
        <v>740</v>
      </c>
    </row>
    <row r="378" spans="1:33" x14ac:dyDescent="0.2">
      <c r="A378" t="s">
        <v>275</v>
      </c>
      <c r="B378" t="s">
        <v>41</v>
      </c>
      <c r="C378" t="s">
        <v>42</v>
      </c>
      <c r="D378">
        <v>61</v>
      </c>
      <c r="E378" t="s">
        <v>67</v>
      </c>
      <c r="F378">
        <v>7477</v>
      </c>
      <c r="G378" t="s">
        <v>106</v>
      </c>
      <c r="H378" t="s">
        <v>47</v>
      </c>
      <c r="I378">
        <v>0</v>
      </c>
      <c r="J378">
        <v>0</v>
      </c>
      <c r="K378">
        <v>0</v>
      </c>
      <c r="L378" t="s">
        <v>46</v>
      </c>
      <c r="M378" t="s">
        <v>47</v>
      </c>
      <c r="N378" t="s">
        <v>47</v>
      </c>
      <c r="O378">
        <v>0</v>
      </c>
      <c r="P378">
        <v>0</v>
      </c>
      <c r="Q378">
        <v>0</v>
      </c>
      <c r="S378">
        <v>0</v>
      </c>
      <c r="T378">
        <v>0</v>
      </c>
      <c r="U378">
        <v>0</v>
      </c>
      <c r="V378" t="s">
        <v>46</v>
      </c>
      <c r="W378">
        <v>2</v>
      </c>
      <c r="X378">
        <v>0</v>
      </c>
      <c r="Y378">
        <v>0</v>
      </c>
      <c r="Z378" t="s">
        <v>54</v>
      </c>
      <c r="AA378">
        <v>0</v>
      </c>
      <c r="AB378">
        <v>2</v>
      </c>
      <c r="AC378">
        <v>0</v>
      </c>
      <c r="AD378">
        <v>0</v>
      </c>
      <c r="AE378">
        <v>0</v>
      </c>
      <c r="AF378">
        <v>0</v>
      </c>
      <c r="AG378" t="s">
        <v>732</v>
      </c>
    </row>
    <row r="379" spans="1:33" x14ac:dyDescent="0.2">
      <c r="A379" t="s">
        <v>97</v>
      </c>
      <c r="B379" t="s">
        <v>41</v>
      </c>
      <c r="C379" t="s">
        <v>42</v>
      </c>
      <c r="D379">
        <v>50</v>
      </c>
      <c r="E379" t="s">
        <v>85</v>
      </c>
      <c r="F379">
        <v>1555</v>
      </c>
      <c r="G379" t="s">
        <v>72</v>
      </c>
      <c r="H379" t="s">
        <v>47</v>
      </c>
      <c r="I379">
        <v>1</v>
      </c>
      <c r="J379">
        <v>0</v>
      </c>
      <c r="K379">
        <v>1</v>
      </c>
      <c r="L379" t="s">
        <v>46</v>
      </c>
      <c r="M379" t="s">
        <v>47</v>
      </c>
      <c r="N379" t="s">
        <v>47</v>
      </c>
      <c r="O379">
        <v>0</v>
      </c>
      <c r="P379">
        <v>0</v>
      </c>
      <c r="Q379">
        <v>0</v>
      </c>
      <c r="S379">
        <v>0</v>
      </c>
      <c r="U379">
        <v>0</v>
      </c>
      <c r="V379" t="s">
        <v>46</v>
      </c>
      <c r="W379">
        <v>1</v>
      </c>
      <c r="Y379">
        <v>0</v>
      </c>
      <c r="Z379" t="s">
        <v>46</v>
      </c>
      <c r="AA379">
        <v>0</v>
      </c>
      <c r="AB379">
        <v>3</v>
      </c>
      <c r="AC379">
        <v>1</v>
      </c>
      <c r="AD379">
        <v>0</v>
      </c>
      <c r="AE379">
        <v>0</v>
      </c>
      <c r="AF379">
        <v>0</v>
      </c>
    </row>
    <row r="380" spans="1:33" x14ac:dyDescent="0.2">
      <c r="A380" t="s">
        <v>272</v>
      </c>
      <c r="B380" t="s">
        <v>164</v>
      </c>
      <c r="C380" t="s">
        <v>42</v>
      </c>
      <c r="D380">
        <v>62</v>
      </c>
      <c r="E380" t="s">
        <v>81</v>
      </c>
      <c r="F380">
        <v>1747</v>
      </c>
      <c r="G380" t="s">
        <v>72</v>
      </c>
      <c r="H380" t="s">
        <v>48</v>
      </c>
      <c r="I380">
        <v>1</v>
      </c>
      <c r="J380">
        <v>0</v>
      </c>
      <c r="K380">
        <v>1</v>
      </c>
      <c r="L380" t="s">
        <v>46</v>
      </c>
      <c r="M380" t="s">
        <v>47</v>
      </c>
      <c r="N380" t="s">
        <v>145</v>
      </c>
      <c r="O380">
        <v>0</v>
      </c>
      <c r="P380">
        <v>1</v>
      </c>
      <c r="Q380">
        <v>0</v>
      </c>
      <c r="S380">
        <v>0</v>
      </c>
      <c r="T380" t="s">
        <v>46</v>
      </c>
      <c r="U380">
        <v>0</v>
      </c>
      <c r="V380" t="s">
        <v>60</v>
      </c>
      <c r="W380">
        <v>2</v>
      </c>
      <c r="X380" t="s">
        <v>49</v>
      </c>
      <c r="Y380">
        <v>0</v>
      </c>
      <c r="Z380" t="s">
        <v>46</v>
      </c>
      <c r="AA380">
        <v>1</v>
      </c>
      <c r="AB380">
        <v>3</v>
      </c>
      <c r="AC380">
        <v>0</v>
      </c>
      <c r="AD380">
        <v>0</v>
      </c>
      <c r="AE380">
        <v>1</v>
      </c>
      <c r="AF380">
        <v>0</v>
      </c>
      <c r="AG380" t="s">
        <v>745</v>
      </c>
    </row>
    <row r="381" spans="1:33" x14ac:dyDescent="0.2">
      <c r="A381" t="s">
        <v>229</v>
      </c>
      <c r="B381" t="s">
        <v>41</v>
      </c>
      <c r="C381" t="s">
        <v>42</v>
      </c>
      <c r="D381">
        <v>63</v>
      </c>
      <c r="E381" t="s">
        <v>51</v>
      </c>
      <c r="F381">
        <v>6721</v>
      </c>
      <c r="G381" t="s">
        <v>44</v>
      </c>
      <c r="H381" t="s">
        <v>502</v>
      </c>
      <c r="I381">
        <v>1</v>
      </c>
      <c r="J381">
        <v>0</v>
      </c>
      <c r="K381">
        <v>0</v>
      </c>
      <c r="L381" t="s">
        <v>46</v>
      </c>
      <c r="M381" t="s">
        <v>47</v>
      </c>
      <c r="N381" t="s">
        <v>47</v>
      </c>
      <c r="O381">
        <v>0</v>
      </c>
      <c r="P381">
        <v>0</v>
      </c>
      <c r="Q381">
        <v>0</v>
      </c>
      <c r="S381">
        <v>0</v>
      </c>
      <c r="T381">
        <v>0</v>
      </c>
      <c r="U381">
        <v>0</v>
      </c>
      <c r="V381" t="s">
        <v>46</v>
      </c>
      <c r="W381">
        <v>2</v>
      </c>
      <c r="X381">
        <v>2</v>
      </c>
      <c r="Y381">
        <v>0</v>
      </c>
      <c r="Z381" t="s">
        <v>60</v>
      </c>
      <c r="AA381">
        <v>0</v>
      </c>
      <c r="AB381">
        <v>4</v>
      </c>
      <c r="AC381">
        <v>0</v>
      </c>
      <c r="AD381">
        <v>0</v>
      </c>
      <c r="AE381">
        <v>0</v>
      </c>
      <c r="AF381">
        <v>1</v>
      </c>
      <c r="AG381" t="s">
        <v>746</v>
      </c>
    </row>
    <row r="382" spans="1:33" x14ac:dyDescent="0.2">
      <c r="A382" t="s">
        <v>76</v>
      </c>
      <c r="B382" t="s">
        <v>41</v>
      </c>
      <c r="C382" t="s">
        <v>42</v>
      </c>
      <c r="D382">
        <v>63</v>
      </c>
      <c r="E382" t="s">
        <v>43</v>
      </c>
      <c r="F382">
        <v>1018</v>
      </c>
      <c r="G382" t="s">
        <v>56</v>
      </c>
      <c r="H382" t="s">
        <v>93</v>
      </c>
      <c r="I382">
        <v>1</v>
      </c>
      <c r="J382">
        <v>0</v>
      </c>
      <c r="K382">
        <v>1</v>
      </c>
      <c r="L382" t="s">
        <v>46</v>
      </c>
      <c r="M382" t="s">
        <v>47</v>
      </c>
      <c r="N382" t="s">
        <v>747</v>
      </c>
      <c r="O382">
        <v>0</v>
      </c>
      <c r="P382">
        <v>0</v>
      </c>
      <c r="Q382">
        <v>0</v>
      </c>
      <c r="S382">
        <v>1</v>
      </c>
      <c r="T382">
        <v>0</v>
      </c>
      <c r="U382">
        <v>0</v>
      </c>
      <c r="V382" t="s">
        <v>60</v>
      </c>
      <c r="W382">
        <v>2</v>
      </c>
      <c r="X382">
        <v>2</v>
      </c>
      <c r="Y382">
        <v>0</v>
      </c>
      <c r="Z382" t="s">
        <v>46</v>
      </c>
      <c r="AA382">
        <v>1</v>
      </c>
      <c r="AB382">
        <v>5</v>
      </c>
      <c r="AC382">
        <v>0</v>
      </c>
      <c r="AD382">
        <v>1</v>
      </c>
      <c r="AE382">
        <v>0</v>
      </c>
      <c r="AF382">
        <v>1</v>
      </c>
      <c r="AG382" t="s">
        <v>748</v>
      </c>
    </row>
    <row r="383" spans="1:33" x14ac:dyDescent="0.2">
      <c r="A383" t="s">
        <v>167</v>
      </c>
      <c r="B383" t="s">
        <v>41</v>
      </c>
      <c r="C383" t="s">
        <v>42</v>
      </c>
      <c r="D383">
        <v>63</v>
      </c>
      <c r="E383" t="s">
        <v>63</v>
      </c>
      <c r="F383">
        <v>3940</v>
      </c>
      <c r="G383" t="s">
        <v>64</v>
      </c>
      <c r="H383" t="s">
        <v>87</v>
      </c>
      <c r="I383">
        <v>0</v>
      </c>
      <c r="J383">
        <v>0</v>
      </c>
      <c r="K383">
        <v>1</v>
      </c>
      <c r="L383" t="s">
        <v>60</v>
      </c>
      <c r="M383" t="s">
        <v>47</v>
      </c>
      <c r="N383" t="s">
        <v>749</v>
      </c>
      <c r="O383">
        <v>0</v>
      </c>
      <c r="P383">
        <v>1</v>
      </c>
      <c r="Q383">
        <v>0</v>
      </c>
      <c r="S383">
        <v>1</v>
      </c>
      <c r="T383">
        <v>1</v>
      </c>
      <c r="U383">
        <v>0</v>
      </c>
      <c r="V383" t="s">
        <v>60</v>
      </c>
      <c r="W383">
        <v>2</v>
      </c>
      <c r="X383">
        <v>2</v>
      </c>
      <c r="Y383">
        <v>0</v>
      </c>
      <c r="Z383" t="s">
        <v>46</v>
      </c>
      <c r="AA383">
        <v>0</v>
      </c>
      <c r="AB383">
        <v>4</v>
      </c>
      <c r="AC383">
        <v>0</v>
      </c>
      <c r="AD383">
        <v>0</v>
      </c>
      <c r="AE383">
        <v>0</v>
      </c>
      <c r="AF383">
        <v>1</v>
      </c>
      <c r="AG383" t="s">
        <v>750</v>
      </c>
    </row>
    <row r="384" spans="1:33" x14ac:dyDescent="0.2">
      <c r="A384" t="s">
        <v>272</v>
      </c>
      <c r="B384" t="s">
        <v>164</v>
      </c>
      <c r="C384" t="s">
        <v>42</v>
      </c>
      <c r="D384">
        <v>63</v>
      </c>
      <c r="E384" t="s">
        <v>81</v>
      </c>
      <c r="F384">
        <v>6956</v>
      </c>
      <c r="G384" t="s">
        <v>71</v>
      </c>
      <c r="H384" t="s">
        <v>145</v>
      </c>
      <c r="I384">
        <v>0</v>
      </c>
      <c r="J384">
        <v>0</v>
      </c>
      <c r="K384">
        <v>1</v>
      </c>
      <c r="L384" t="s">
        <v>46</v>
      </c>
      <c r="M384" t="s">
        <v>47</v>
      </c>
      <c r="N384" t="s">
        <v>751</v>
      </c>
      <c r="O384">
        <v>0</v>
      </c>
      <c r="P384">
        <v>0</v>
      </c>
      <c r="Q384">
        <v>0</v>
      </c>
      <c r="S384">
        <v>0</v>
      </c>
      <c r="T384" t="s">
        <v>517</v>
      </c>
      <c r="U384">
        <v>0</v>
      </c>
      <c r="V384" t="s">
        <v>141</v>
      </c>
      <c r="W384">
        <v>3</v>
      </c>
      <c r="X384" t="s">
        <v>49</v>
      </c>
      <c r="Y384">
        <v>1</v>
      </c>
      <c r="Z384" t="s">
        <v>49</v>
      </c>
      <c r="AA384">
        <v>1</v>
      </c>
      <c r="AB384">
        <v>3</v>
      </c>
      <c r="AC384">
        <v>0</v>
      </c>
      <c r="AD384">
        <v>0</v>
      </c>
      <c r="AE384">
        <v>0</v>
      </c>
      <c r="AF384">
        <v>0</v>
      </c>
      <c r="AG384" t="s">
        <v>752</v>
      </c>
    </row>
    <row r="385" spans="1:33" x14ac:dyDescent="0.2">
      <c r="A385" t="s">
        <v>135</v>
      </c>
      <c r="B385" t="s">
        <v>41</v>
      </c>
      <c r="C385" t="s">
        <v>42</v>
      </c>
      <c r="D385">
        <v>51</v>
      </c>
      <c r="E385" t="s">
        <v>85</v>
      </c>
      <c r="F385">
        <v>7477</v>
      </c>
      <c r="G385" t="s">
        <v>71</v>
      </c>
      <c r="H385" t="s">
        <v>47</v>
      </c>
      <c r="I385">
        <v>0</v>
      </c>
      <c r="J385">
        <v>0</v>
      </c>
      <c r="K385">
        <v>0</v>
      </c>
      <c r="L385" t="s">
        <v>46</v>
      </c>
      <c r="M385" t="s">
        <v>47</v>
      </c>
      <c r="N385" t="s">
        <v>637</v>
      </c>
      <c r="O385">
        <v>0</v>
      </c>
      <c r="P385">
        <v>0</v>
      </c>
      <c r="Q385">
        <v>0</v>
      </c>
      <c r="S385">
        <v>0</v>
      </c>
      <c r="T385">
        <v>3</v>
      </c>
      <c r="U385">
        <v>0</v>
      </c>
      <c r="V385" t="s">
        <v>46</v>
      </c>
      <c r="W385">
        <v>2</v>
      </c>
      <c r="X385">
        <v>0</v>
      </c>
      <c r="Y385">
        <v>0</v>
      </c>
      <c r="Z385" t="s">
        <v>54</v>
      </c>
      <c r="AA385">
        <v>0</v>
      </c>
      <c r="AB385">
        <v>1</v>
      </c>
      <c r="AC385">
        <v>0</v>
      </c>
      <c r="AD385">
        <v>0</v>
      </c>
      <c r="AE385">
        <v>1</v>
      </c>
      <c r="AF385">
        <v>0</v>
      </c>
      <c r="AG385" t="s">
        <v>638</v>
      </c>
    </row>
    <row r="386" spans="1:33" x14ac:dyDescent="0.2">
      <c r="A386" t="s">
        <v>275</v>
      </c>
      <c r="B386" t="s">
        <v>41</v>
      </c>
      <c r="C386" t="s">
        <v>42</v>
      </c>
      <c r="D386">
        <v>62</v>
      </c>
      <c r="E386" t="s">
        <v>67</v>
      </c>
      <c r="F386">
        <v>4982</v>
      </c>
      <c r="G386" t="s">
        <v>68</v>
      </c>
      <c r="H386" t="s">
        <v>47</v>
      </c>
      <c r="I386">
        <v>0</v>
      </c>
      <c r="J386">
        <v>0</v>
      </c>
      <c r="K386">
        <v>0</v>
      </c>
      <c r="L386" t="s">
        <v>46</v>
      </c>
      <c r="M386" t="s">
        <v>47</v>
      </c>
      <c r="N386" t="s">
        <v>741</v>
      </c>
      <c r="O386">
        <v>0</v>
      </c>
      <c r="P386">
        <v>0</v>
      </c>
      <c r="Q386">
        <v>0</v>
      </c>
      <c r="S386">
        <v>1</v>
      </c>
      <c r="T386">
        <v>2</v>
      </c>
      <c r="U386">
        <v>0</v>
      </c>
      <c r="V386" t="s">
        <v>141</v>
      </c>
      <c r="W386">
        <v>1</v>
      </c>
      <c r="X386">
        <v>1</v>
      </c>
      <c r="Y386">
        <v>0</v>
      </c>
      <c r="Z386" t="s">
        <v>46</v>
      </c>
      <c r="AA386">
        <v>1</v>
      </c>
      <c r="AB386">
        <v>3</v>
      </c>
      <c r="AC386">
        <v>0</v>
      </c>
      <c r="AD386">
        <v>0</v>
      </c>
      <c r="AE386">
        <v>0</v>
      </c>
      <c r="AF386">
        <v>0</v>
      </c>
      <c r="AG386" t="s">
        <v>742</v>
      </c>
    </row>
    <row r="387" spans="1:33" x14ac:dyDescent="0.2">
      <c r="A387" t="s">
        <v>167</v>
      </c>
      <c r="B387" t="s">
        <v>41</v>
      </c>
      <c r="C387" t="s">
        <v>42</v>
      </c>
      <c r="D387">
        <v>64</v>
      </c>
      <c r="E387" t="s">
        <v>63</v>
      </c>
      <c r="F387">
        <v>3487</v>
      </c>
      <c r="G387" t="s">
        <v>56</v>
      </c>
      <c r="H387" t="s">
        <v>47</v>
      </c>
      <c r="I387">
        <v>0</v>
      </c>
      <c r="J387">
        <v>1</v>
      </c>
      <c r="K387">
        <v>1</v>
      </c>
      <c r="L387" t="s">
        <v>46</v>
      </c>
      <c r="M387" t="s">
        <v>47</v>
      </c>
      <c r="N387" t="s">
        <v>757</v>
      </c>
      <c r="O387">
        <v>0</v>
      </c>
      <c r="P387">
        <v>0</v>
      </c>
      <c r="Q387">
        <v>0</v>
      </c>
      <c r="S387">
        <v>1</v>
      </c>
      <c r="T387">
        <v>1</v>
      </c>
      <c r="U387">
        <v>0</v>
      </c>
      <c r="V387" t="s">
        <v>60</v>
      </c>
      <c r="W387">
        <v>2</v>
      </c>
      <c r="X387">
        <v>2</v>
      </c>
      <c r="Y387">
        <v>0</v>
      </c>
      <c r="Z387" t="s">
        <v>46</v>
      </c>
      <c r="AA387">
        <v>0</v>
      </c>
      <c r="AB387">
        <v>3</v>
      </c>
      <c r="AC387">
        <v>0</v>
      </c>
      <c r="AD387">
        <v>0</v>
      </c>
      <c r="AE387">
        <v>0</v>
      </c>
      <c r="AF387">
        <v>1</v>
      </c>
      <c r="AG387" t="s">
        <v>758</v>
      </c>
    </row>
    <row r="388" spans="1:33" x14ac:dyDescent="0.2">
      <c r="A388" t="s">
        <v>76</v>
      </c>
      <c r="B388" t="s">
        <v>41</v>
      </c>
      <c r="C388" t="s">
        <v>42</v>
      </c>
      <c r="D388">
        <v>64</v>
      </c>
      <c r="E388" t="s">
        <v>43</v>
      </c>
      <c r="F388">
        <v>9119</v>
      </c>
      <c r="G388" t="s">
        <v>78</v>
      </c>
      <c r="H388" t="s">
        <v>47</v>
      </c>
      <c r="I388">
        <v>1</v>
      </c>
      <c r="J388">
        <v>0</v>
      </c>
      <c r="K388">
        <v>1</v>
      </c>
      <c r="L388" t="s">
        <v>46</v>
      </c>
      <c r="M388" t="s">
        <v>47</v>
      </c>
      <c r="N388" t="s">
        <v>47</v>
      </c>
      <c r="O388">
        <v>0</v>
      </c>
      <c r="P388">
        <v>0</v>
      </c>
      <c r="Q388">
        <v>0</v>
      </c>
      <c r="S388">
        <v>0</v>
      </c>
      <c r="T388">
        <v>0</v>
      </c>
      <c r="U388">
        <v>0</v>
      </c>
      <c r="V388" t="s">
        <v>46</v>
      </c>
      <c r="W388">
        <v>0</v>
      </c>
      <c r="X388">
        <v>0</v>
      </c>
      <c r="Y388">
        <v>0</v>
      </c>
      <c r="Z388" t="s">
        <v>54</v>
      </c>
      <c r="AA388">
        <v>0</v>
      </c>
      <c r="AB388">
        <v>2</v>
      </c>
      <c r="AC388">
        <v>0</v>
      </c>
      <c r="AD388">
        <v>0</v>
      </c>
      <c r="AE388">
        <v>0</v>
      </c>
      <c r="AF388">
        <v>0</v>
      </c>
      <c r="AG388" t="s">
        <v>759</v>
      </c>
    </row>
    <row r="389" spans="1:33" x14ac:dyDescent="0.2">
      <c r="A389" t="s">
        <v>275</v>
      </c>
      <c r="B389" t="s">
        <v>41</v>
      </c>
      <c r="C389" t="s">
        <v>42</v>
      </c>
      <c r="D389">
        <v>63</v>
      </c>
      <c r="E389" t="s">
        <v>67</v>
      </c>
      <c r="F389">
        <v>71</v>
      </c>
      <c r="G389" t="s">
        <v>68</v>
      </c>
      <c r="H389" t="s">
        <v>150</v>
      </c>
      <c r="I389">
        <v>0</v>
      </c>
      <c r="J389">
        <v>1</v>
      </c>
      <c r="K389">
        <v>1</v>
      </c>
      <c r="L389" t="s">
        <v>53</v>
      </c>
      <c r="M389" t="s">
        <v>47</v>
      </c>
      <c r="N389" t="s">
        <v>755</v>
      </c>
      <c r="O389">
        <v>0</v>
      </c>
      <c r="P389">
        <v>1</v>
      </c>
      <c r="Q389">
        <v>0</v>
      </c>
      <c r="S389">
        <v>1</v>
      </c>
      <c r="T389">
        <v>2</v>
      </c>
      <c r="U389">
        <v>0</v>
      </c>
      <c r="V389" t="s">
        <v>60</v>
      </c>
      <c r="W389">
        <v>3</v>
      </c>
      <c r="X389">
        <v>2</v>
      </c>
      <c r="Y389">
        <v>1</v>
      </c>
      <c r="Z389" t="s">
        <v>46</v>
      </c>
      <c r="AA389">
        <v>0</v>
      </c>
      <c r="AB389">
        <v>3</v>
      </c>
      <c r="AC389">
        <v>0</v>
      </c>
      <c r="AD389">
        <v>0</v>
      </c>
      <c r="AE389">
        <v>0</v>
      </c>
      <c r="AF389">
        <v>1</v>
      </c>
      <c r="AG389" t="s">
        <v>756</v>
      </c>
    </row>
    <row r="390" spans="1:33" x14ac:dyDescent="0.2">
      <c r="A390" t="s">
        <v>229</v>
      </c>
      <c r="B390" t="s">
        <v>41</v>
      </c>
      <c r="C390" t="s">
        <v>42</v>
      </c>
      <c r="D390">
        <v>64</v>
      </c>
      <c r="E390" t="s">
        <v>51</v>
      </c>
      <c r="F390">
        <v>9119</v>
      </c>
      <c r="G390" t="s">
        <v>44</v>
      </c>
      <c r="H390" t="s">
        <v>47</v>
      </c>
      <c r="I390">
        <v>1</v>
      </c>
      <c r="J390">
        <v>0</v>
      </c>
      <c r="K390">
        <v>0</v>
      </c>
      <c r="L390" t="s">
        <v>46</v>
      </c>
      <c r="M390" t="s">
        <v>47</v>
      </c>
      <c r="N390" t="s">
        <v>47</v>
      </c>
      <c r="O390">
        <v>0</v>
      </c>
      <c r="P390">
        <v>0</v>
      </c>
      <c r="Q390">
        <v>0</v>
      </c>
      <c r="S390">
        <v>0</v>
      </c>
      <c r="T390">
        <v>0</v>
      </c>
      <c r="U390">
        <v>0</v>
      </c>
      <c r="V390" t="s">
        <v>46</v>
      </c>
      <c r="W390">
        <v>2</v>
      </c>
      <c r="X390">
        <v>0</v>
      </c>
      <c r="Y390">
        <v>0</v>
      </c>
      <c r="Z390" t="s">
        <v>54</v>
      </c>
      <c r="AA390">
        <v>0</v>
      </c>
      <c r="AB390">
        <v>2</v>
      </c>
      <c r="AC390">
        <v>0</v>
      </c>
      <c r="AD390">
        <v>0</v>
      </c>
      <c r="AE390">
        <v>0</v>
      </c>
      <c r="AF390">
        <v>0</v>
      </c>
      <c r="AG390" t="s">
        <v>761</v>
      </c>
    </row>
    <row r="391" spans="1:33" x14ac:dyDescent="0.2">
      <c r="A391" t="s">
        <v>272</v>
      </c>
      <c r="B391" t="s">
        <v>164</v>
      </c>
      <c r="C391" t="s">
        <v>42</v>
      </c>
      <c r="D391">
        <v>64</v>
      </c>
      <c r="E391" t="s">
        <v>81</v>
      </c>
      <c r="F391">
        <v>5484</v>
      </c>
      <c r="G391" t="s">
        <v>106</v>
      </c>
      <c r="H391" t="s">
        <v>96</v>
      </c>
      <c r="I391">
        <v>0</v>
      </c>
      <c r="J391">
        <v>0</v>
      </c>
      <c r="K391">
        <v>0</v>
      </c>
      <c r="L391" t="s">
        <v>46</v>
      </c>
      <c r="M391" t="s">
        <v>47</v>
      </c>
      <c r="N391" t="s">
        <v>762</v>
      </c>
      <c r="O391">
        <v>0</v>
      </c>
      <c r="P391">
        <v>1</v>
      </c>
      <c r="Q391">
        <v>0</v>
      </c>
      <c r="S391">
        <v>1</v>
      </c>
      <c r="T391" t="s">
        <v>46</v>
      </c>
      <c r="U391">
        <v>0</v>
      </c>
      <c r="V391" t="s">
        <v>60</v>
      </c>
      <c r="W391">
        <v>2</v>
      </c>
      <c r="X391" t="s">
        <v>49</v>
      </c>
      <c r="Y391">
        <v>1</v>
      </c>
      <c r="Z391" t="s">
        <v>49</v>
      </c>
      <c r="AA391">
        <v>1</v>
      </c>
      <c r="AB391">
        <v>3</v>
      </c>
      <c r="AC391">
        <v>0</v>
      </c>
      <c r="AD391">
        <v>0</v>
      </c>
      <c r="AE391">
        <v>1</v>
      </c>
      <c r="AF391">
        <v>0</v>
      </c>
      <c r="AG391" t="s">
        <v>763</v>
      </c>
    </row>
    <row r="392" spans="1:33" x14ac:dyDescent="0.2">
      <c r="A392" t="s">
        <v>135</v>
      </c>
      <c r="B392" t="s">
        <v>41</v>
      </c>
      <c r="C392" t="s">
        <v>42</v>
      </c>
      <c r="D392">
        <v>52</v>
      </c>
      <c r="E392" t="s">
        <v>85</v>
      </c>
      <c r="F392">
        <v>9208</v>
      </c>
      <c r="G392" t="s">
        <v>106</v>
      </c>
      <c r="H392" t="s">
        <v>93</v>
      </c>
      <c r="I392">
        <v>0</v>
      </c>
      <c r="J392">
        <v>0</v>
      </c>
      <c r="K392">
        <v>0</v>
      </c>
      <c r="L392" t="s">
        <v>46</v>
      </c>
      <c r="M392" t="s">
        <v>47</v>
      </c>
      <c r="N392" t="s">
        <v>639</v>
      </c>
      <c r="O392">
        <v>0</v>
      </c>
      <c r="P392">
        <v>0</v>
      </c>
      <c r="Q392">
        <v>0</v>
      </c>
      <c r="S392">
        <v>0</v>
      </c>
      <c r="U392">
        <v>0</v>
      </c>
      <c r="V392" t="s">
        <v>53</v>
      </c>
      <c r="W392">
        <v>0</v>
      </c>
      <c r="X392">
        <v>2</v>
      </c>
      <c r="Y392">
        <v>0</v>
      </c>
      <c r="Z392" t="s">
        <v>181</v>
      </c>
      <c r="AA392">
        <v>0</v>
      </c>
      <c r="AB392">
        <v>4</v>
      </c>
      <c r="AC392">
        <v>0</v>
      </c>
      <c r="AD392">
        <v>0</v>
      </c>
      <c r="AE392">
        <v>0</v>
      </c>
      <c r="AF392">
        <v>1</v>
      </c>
      <c r="AG392" t="s">
        <v>640</v>
      </c>
    </row>
    <row r="393" spans="1:33" x14ac:dyDescent="0.2">
      <c r="A393" t="s">
        <v>167</v>
      </c>
      <c r="B393" t="s">
        <v>41</v>
      </c>
      <c r="C393" t="s">
        <v>42</v>
      </c>
      <c r="D393">
        <v>65</v>
      </c>
      <c r="E393" t="s">
        <v>63</v>
      </c>
      <c r="F393">
        <v>868</v>
      </c>
      <c r="G393" t="s">
        <v>64</v>
      </c>
      <c r="H393" t="s">
        <v>87</v>
      </c>
      <c r="I393">
        <v>0</v>
      </c>
      <c r="J393">
        <v>0</v>
      </c>
      <c r="K393">
        <v>1</v>
      </c>
      <c r="L393" t="s">
        <v>49</v>
      </c>
      <c r="M393" t="s">
        <v>47</v>
      </c>
      <c r="N393" t="s">
        <v>47</v>
      </c>
      <c r="O393">
        <v>0</v>
      </c>
      <c r="P393">
        <v>0</v>
      </c>
      <c r="Q393">
        <v>1</v>
      </c>
      <c r="R393">
        <v>868</v>
      </c>
      <c r="S393">
        <v>0</v>
      </c>
      <c r="U393">
        <v>0</v>
      </c>
      <c r="V393" t="s">
        <v>60</v>
      </c>
      <c r="W393">
        <v>3</v>
      </c>
      <c r="X393">
        <v>2</v>
      </c>
      <c r="Y393">
        <v>0</v>
      </c>
      <c r="Z393" t="s">
        <v>60</v>
      </c>
      <c r="AA393">
        <v>0</v>
      </c>
      <c r="AB393">
        <v>5</v>
      </c>
      <c r="AC393">
        <v>0</v>
      </c>
      <c r="AD393">
        <v>0</v>
      </c>
      <c r="AE393">
        <v>0</v>
      </c>
      <c r="AF393">
        <v>1</v>
      </c>
      <c r="AG393" t="s">
        <v>766</v>
      </c>
    </row>
    <row r="394" spans="1:33" x14ac:dyDescent="0.2">
      <c r="A394" t="s">
        <v>229</v>
      </c>
      <c r="B394" t="s">
        <v>41</v>
      </c>
      <c r="C394" t="s">
        <v>42</v>
      </c>
      <c r="D394">
        <v>65</v>
      </c>
      <c r="E394" t="s">
        <v>51</v>
      </c>
      <c r="F394">
        <v>2197</v>
      </c>
      <c r="G394" t="s">
        <v>44</v>
      </c>
      <c r="H394" t="s">
        <v>69</v>
      </c>
      <c r="I394">
        <v>0</v>
      </c>
      <c r="J394">
        <v>0</v>
      </c>
      <c r="K394">
        <v>0</v>
      </c>
      <c r="L394" t="s">
        <v>46</v>
      </c>
      <c r="M394" t="s">
        <v>47</v>
      </c>
      <c r="N394" t="s">
        <v>767</v>
      </c>
      <c r="O394">
        <v>0</v>
      </c>
      <c r="P394">
        <v>0</v>
      </c>
      <c r="Q394">
        <v>0</v>
      </c>
      <c r="S394">
        <v>1</v>
      </c>
      <c r="T394">
        <v>1</v>
      </c>
      <c r="U394">
        <v>0</v>
      </c>
      <c r="V394" t="s">
        <v>60</v>
      </c>
      <c r="W394">
        <v>3</v>
      </c>
      <c r="X394">
        <v>2</v>
      </c>
      <c r="Y394">
        <v>2</v>
      </c>
      <c r="Z394" t="s">
        <v>181</v>
      </c>
      <c r="AA394">
        <v>0</v>
      </c>
      <c r="AB394">
        <v>5</v>
      </c>
      <c r="AC394">
        <v>0</v>
      </c>
      <c r="AD394">
        <v>0</v>
      </c>
      <c r="AE394">
        <v>0</v>
      </c>
      <c r="AF394">
        <v>1</v>
      </c>
      <c r="AG394" t="s">
        <v>768</v>
      </c>
    </row>
    <row r="395" spans="1:33" x14ac:dyDescent="0.2">
      <c r="A395" t="s">
        <v>275</v>
      </c>
      <c r="B395" t="s">
        <v>41</v>
      </c>
      <c r="C395" t="s">
        <v>42</v>
      </c>
      <c r="D395">
        <v>64</v>
      </c>
      <c r="E395" t="s">
        <v>67</v>
      </c>
      <c r="F395">
        <v>9071</v>
      </c>
      <c r="G395" t="s">
        <v>71</v>
      </c>
      <c r="H395" t="s">
        <v>47</v>
      </c>
      <c r="I395">
        <v>0</v>
      </c>
      <c r="J395">
        <v>0</v>
      </c>
      <c r="K395">
        <v>1</v>
      </c>
      <c r="L395" t="s">
        <v>46</v>
      </c>
      <c r="M395" t="s">
        <v>47</v>
      </c>
      <c r="N395" t="s">
        <v>145</v>
      </c>
      <c r="O395">
        <v>0</v>
      </c>
      <c r="P395">
        <v>0</v>
      </c>
      <c r="Q395">
        <v>0</v>
      </c>
      <c r="S395">
        <v>0</v>
      </c>
      <c r="T395">
        <v>0</v>
      </c>
      <c r="U395">
        <v>0</v>
      </c>
      <c r="V395" t="s">
        <v>49</v>
      </c>
      <c r="W395">
        <v>2</v>
      </c>
      <c r="X395">
        <v>1</v>
      </c>
      <c r="Y395">
        <v>0</v>
      </c>
      <c r="Z395" t="s">
        <v>46</v>
      </c>
      <c r="AA395">
        <v>0</v>
      </c>
      <c r="AB395">
        <v>3</v>
      </c>
      <c r="AC395">
        <v>0</v>
      </c>
      <c r="AD395">
        <v>1</v>
      </c>
      <c r="AE395">
        <v>0</v>
      </c>
      <c r="AF395">
        <v>0</v>
      </c>
      <c r="AG395" t="s">
        <v>760</v>
      </c>
    </row>
    <row r="396" spans="1:33" x14ac:dyDescent="0.2">
      <c r="A396" t="s">
        <v>76</v>
      </c>
      <c r="B396" t="s">
        <v>41</v>
      </c>
      <c r="C396" t="s">
        <v>42</v>
      </c>
      <c r="D396">
        <v>65</v>
      </c>
      <c r="E396" t="s">
        <v>43</v>
      </c>
      <c r="F396">
        <v>2197</v>
      </c>
      <c r="G396" t="s">
        <v>44</v>
      </c>
      <c r="H396" t="s">
        <v>71</v>
      </c>
      <c r="I396">
        <v>0</v>
      </c>
      <c r="J396">
        <v>0</v>
      </c>
      <c r="K396">
        <v>1</v>
      </c>
      <c r="L396" t="s">
        <v>46</v>
      </c>
      <c r="M396" t="s">
        <v>47</v>
      </c>
      <c r="N396" t="s">
        <v>771</v>
      </c>
      <c r="O396">
        <v>0</v>
      </c>
      <c r="P396">
        <v>0</v>
      </c>
      <c r="Q396">
        <v>0</v>
      </c>
      <c r="S396">
        <v>0</v>
      </c>
      <c r="T396">
        <v>1</v>
      </c>
      <c r="U396">
        <v>0</v>
      </c>
      <c r="V396" t="s">
        <v>60</v>
      </c>
      <c r="W396">
        <v>3</v>
      </c>
      <c r="X396">
        <v>2</v>
      </c>
      <c r="Y396">
        <v>0</v>
      </c>
      <c r="Z396" t="s">
        <v>46</v>
      </c>
      <c r="AA396">
        <v>1</v>
      </c>
      <c r="AB396">
        <v>5</v>
      </c>
      <c r="AC396">
        <v>0</v>
      </c>
      <c r="AD396">
        <v>0</v>
      </c>
      <c r="AE396">
        <v>0</v>
      </c>
      <c r="AF396">
        <v>1</v>
      </c>
      <c r="AG396" t="s">
        <v>772</v>
      </c>
    </row>
    <row r="397" spans="1:33" x14ac:dyDescent="0.2">
      <c r="A397" t="s">
        <v>135</v>
      </c>
      <c r="B397" t="s">
        <v>41</v>
      </c>
      <c r="C397" t="s">
        <v>42</v>
      </c>
      <c r="D397">
        <v>53</v>
      </c>
      <c r="E397" t="s">
        <v>85</v>
      </c>
      <c r="F397">
        <v>3940</v>
      </c>
      <c r="G397" t="s">
        <v>72</v>
      </c>
      <c r="H397" t="s">
        <v>87</v>
      </c>
      <c r="I397">
        <v>0</v>
      </c>
      <c r="J397">
        <v>1</v>
      </c>
      <c r="K397">
        <v>1</v>
      </c>
      <c r="L397" t="s">
        <v>60</v>
      </c>
      <c r="M397" t="s">
        <v>47</v>
      </c>
      <c r="N397" t="s">
        <v>641</v>
      </c>
      <c r="O397">
        <v>0</v>
      </c>
      <c r="P397">
        <v>1</v>
      </c>
      <c r="Q397">
        <v>1</v>
      </c>
      <c r="R397">
        <v>1501</v>
      </c>
      <c r="S397">
        <v>1</v>
      </c>
      <c r="T397">
        <v>3</v>
      </c>
      <c r="U397">
        <v>0</v>
      </c>
      <c r="V397" t="s">
        <v>46</v>
      </c>
      <c r="W397">
        <v>2</v>
      </c>
      <c r="X397">
        <v>2</v>
      </c>
      <c r="Y397">
        <v>0</v>
      </c>
      <c r="Z397" t="s">
        <v>60</v>
      </c>
      <c r="AA397">
        <v>0</v>
      </c>
      <c r="AB397">
        <v>5</v>
      </c>
      <c r="AC397">
        <v>0</v>
      </c>
      <c r="AD397">
        <v>0</v>
      </c>
      <c r="AE397">
        <v>0</v>
      </c>
      <c r="AF397">
        <v>1</v>
      </c>
      <c r="AG397" t="s">
        <v>642</v>
      </c>
    </row>
    <row r="398" spans="1:33" x14ac:dyDescent="0.2">
      <c r="A398" t="s">
        <v>80</v>
      </c>
      <c r="B398" t="s">
        <v>164</v>
      </c>
      <c r="C398" t="s">
        <v>42</v>
      </c>
      <c r="D398">
        <v>65</v>
      </c>
      <c r="E398" t="s">
        <v>81</v>
      </c>
      <c r="F398">
        <v>3936</v>
      </c>
      <c r="G398" t="s">
        <v>106</v>
      </c>
      <c r="H398" t="s">
        <v>93</v>
      </c>
      <c r="I398">
        <v>0</v>
      </c>
      <c r="J398">
        <v>0</v>
      </c>
      <c r="K398">
        <v>0</v>
      </c>
      <c r="L398" t="s">
        <v>46</v>
      </c>
      <c r="M398" t="s">
        <v>47</v>
      </c>
      <c r="N398" t="s">
        <v>774</v>
      </c>
      <c r="O398">
        <v>0</v>
      </c>
      <c r="P398">
        <v>1</v>
      </c>
      <c r="Q398">
        <v>1</v>
      </c>
      <c r="R398">
        <v>868</v>
      </c>
      <c r="S398">
        <v>1</v>
      </c>
      <c r="T398" t="s">
        <v>517</v>
      </c>
      <c r="U398">
        <v>0</v>
      </c>
      <c r="V398" t="s">
        <v>60</v>
      </c>
      <c r="W398">
        <v>2</v>
      </c>
      <c r="X398" t="s">
        <v>216</v>
      </c>
      <c r="Y398">
        <v>0</v>
      </c>
      <c r="Z398" t="s">
        <v>46</v>
      </c>
      <c r="AA398">
        <v>1</v>
      </c>
      <c r="AB398">
        <v>3</v>
      </c>
      <c r="AC398">
        <v>0</v>
      </c>
      <c r="AD398">
        <v>0</v>
      </c>
      <c r="AE398">
        <v>0</v>
      </c>
      <c r="AF398">
        <v>1</v>
      </c>
      <c r="AG398" t="s">
        <v>775</v>
      </c>
    </row>
    <row r="399" spans="1:33" x14ac:dyDescent="0.2">
      <c r="A399" t="s">
        <v>135</v>
      </c>
      <c r="B399" t="s">
        <v>41</v>
      </c>
      <c r="C399" t="s">
        <v>42</v>
      </c>
      <c r="D399">
        <v>54</v>
      </c>
      <c r="E399" t="s">
        <v>85</v>
      </c>
      <c r="F399">
        <v>5484</v>
      </c>
      <c r="G399" t="s">
        <v>72</v>
      </c>
      <c r="H399" t="s">
        <v>96</v>
      </c>
      <c r="I399">
        <v>1</v>
      </c>
      <c r="J399">
        <v>0</v>
      </c>
      <c r="K399">
        <v>1</v>
      </c>
      <c r="L399" t="s">
        <v>46</v>
      </c>
      <c r="M399" t="s">
        <v>47</v>
      </c>
      <c r="N399" t="s">
        <v>660</v>
      </c>
      <c r="O399">
        <v>0</v>
      </c>
      <c r="P399">
        <v>1</v>
      </c>
      <c r="Q399">
        <v>0</v>
      </c>
      <c r="S399">
        <v>1</v>
      </c>
      <c r="T399">
        <v>1</v>
      </c>
      <c r="U399">
        <v>0</v>
      </c>
      <c r="V399" t="s">
        <v>60</v>
      </c>
      <c r="W399">
        <v>2</v>
      </c>
      <c r="X399">
        <v>2</v>
      </c>
      <c r="Y399">
        <v>0</v>
      </c>
      <c r="Z399" t="s">
        <v>181</v>
      </c>
      <c r="AA399">
        <v>1</v>
      </c>
      <c r="AB399">
        <v>5</v>
      </c>
      <c r="AC399">
        <v>0</v>
      </c>
      <c r="AD399">
        <v>0</v>
      </c>
      <c r="AE399">
        <v>0</v>
      </c>
      <c r="AF399">
        <v>0</v>
      </c>
      <c r="AG399" t="s">
        <v>661</v>
      </c>
    </row>
    <row r="400" spans="1:33" x14ac:dyDescent="0.2">
      <c r="A400" t="s">
        <v>275</v>
      </c>
      <c r="B400" t="s">
        <v>41</v>
      </c>
      <c r="C400" t="s">
        <v>42</v>
      </c>
      <c r="D400">
        <v>65</v>
      </c>
      <c r="E400" t="s">
        <v>67</v>
      </c>
      <c r="F400">
        <v>3176</v>
      </c>
      <c r="G400" t="s">
        <v>71</v>
      </c>
      <c r="H400" t="s">
        <v>69</v>
      </c>
      <c r="I400">
        <v>0</v>
      </c>
      <c r="J400">
        <v>0</v>
      </c>
      <c r="K400">
        <v>1</v>
      </c>
      <c r="L400" t="s">
        <v>60</v>
      </c>
      <c r="M400" t="s">
        <v>47</v>
      </c>
      <c r="N400" t="s">
        <v>769</v>
      </c>
      <c r="O400">
        <v>0</v>
      </c>
      <c r="P400">
        <v>1</v>
      </c>
      <c r="Q400">
        <v>1</v>
      </c>
      <c r="R400">
        <v>868</v>
      </c>
      <c r="S400">
        <v>1</v>
      </c>
      <c r="T400">
        <v>0</v>
      </c>
      <c r="U400">
        <v>0</v>
      </c>
      <c r="V400" t="s">
        <v>60</v>
      </c>
      <c r="W400">
        <v>2</v>
      </c>
      <c r="X400">
        <v>2</v>
      </c>
      <c r="Y400">
        <v>2</v>
      </c>
      <c r="Z400" t="s">
        <v>46</v>
      </c>
      <c r="AA400">
        <v>1</v>
      </c>
      <c r="AB400">
        <v>5</v>
      </c>
      <c r="AC400">
        <v>0</v>
      </c>
      <c r="AD400">
        <v>0</v>
      </c>
      <c r="AE400">
        <v>0</v>
      </c>
      <c r="AF400">
        <v>1</v>
      </c>
      <c r="AG400" t="s">
        <v>770</v>
      </c>
    </row>
    <row r="401" spans="1:33" x14ac:dyDescent="0.2">
      <c r="A401" t="s">
        <v>229</v>
      </c>
      <c r="B401" t="s">
        <v>41</v>
      </c>
      <c r="C401" t="s">
        <v>42</v>
      </c>
      <c r="D401">
        <v>66</v>
      </c>
      <c r="E401" t="s">
        <v>51</v>
      </c>
      <c r="F401">
        <v>135</v>
      </c>
      <c r="G401" t="s">
        <v>44</v>
      </c>
      <c r="H401" t="s">
        <v>45</v>
      </c>
      <c r="I401">
        <v>0</v>
      </c>
      <c r="J401">
        <v>0</v>
      </c>
      <c r="K401">
        <v>0</v>
      </c>
      <c r="L401" t="s">
        <v>46</v>
      </c>
      <c r="M401" t="s">
        <v>47</v>
      </c>
      <c r="N401" t="s">
        <v>778</v>
      </c>
      <c r="O401">
        <v>0</v>
      </c>
      <c r="P401">
        <v>0</v>
      </c>
      <c r="Q401">
        <v>0</v>
      </c>
      <c r="S401">
        <v>1</v>
      </c>
      <c r="T401">
        <v>3</v>
      </c>
      <c r="U401">
        <v>0</v>
      </c>
      <c r="V401" t="s">
        <v>46</v>
      </c>
      <c r="W401">
        <v>2</v>
      </c>
      <c r="X401">
        <v>1</v>
      </c>
      <c r="Y401">
        <v>0</v>
      </c>
      <c r="Z401" t="s">
        <v>46</v>
      </c>
      <c r="AA401">
        <v>0</v>
      </c>
      <c r="AB401">
        <v>4</v>
      </c>
      <c r="AC401">
        <v>0</v>
      </c>
      <c r="AD401">
        <v>0</v>
      </c>
      <c r="AE401">
        <v>0</v>
      </c>
      <c r="AF401">
        <v>1</v>
      </c>
      <c r="AG401" t="s">
        <v>779</v>
      </c>
    </row>
    <row r="402" spans="1:33" x14ac:dyDescent="0.2">
      <c r="A402" t="s">
        <v>80</v>
      </c>
      <c r="B402" t="s">
        <v>164</v>
      </c>
      <c r="C402" t="s">
        <v>42</v>
      </c>
      <c r="D402">
        <v>66</v>
      </c>
      <c r="E402" t="s">
        <v>81</v>
      </c>
      <c r="F402">
        <v>9208</v>
      </c>
      <c r="G402" t="s">
        <v>106</v>
      </c>
      <c r="H402" t="s">
        <v>93</v>
      </c>
      <c r="I402">
        <v>1</v>
      </c>
      <c r="J402">
        <v>1</v>
      </c>
      <c r="K402">
        <v>1</v>
      </c>
      <c r="L402" t="s">
        <v>46</v>
      </c>
      <c r="M402" t="s">
        <v>47</v>
      </c>
      <c r="N402" t="s">
        <v>780</v>
      </c>
      <c r="O402">
        <v>0</v>
      </c>
      <c r="P402">
        <v>1</v>
      </c>
      <c r="Q402">
        <v>0</v>
      </c>
      <c r="S402">
        <v>1</v>
      </c>
      <c r="T402" t="s">
        <v>46</v>
      </c>
      <c r="U402">
        <v>0</v>
      </c>
      <c r="V402" t="s">
        <v>53</v>
      </c>
      <c r="W402">
        <v>1</v>
      </c>
      <c r="X402" t="s">
        <v>49</v>
      </c>
      <c r="Y402">
        <v>0</v>
      </c>
      <c r="Z402" t="s">
        <v>46</v>
      </c>
      <c r="AA402">
        <v>0</v>
      </c>
      <c r="AB402">
        <v>3</v>
      </c>
      <c r="AC402">
        <v>0</v>
      </c>
      <c r="AD402">
        <v>0</v>
      </c>
      <c r="AE402">
        <v>0</v>
      </c>
      <c r="AF402">
        <v>1</v>
      </c>
      <c r="AG402" t="s">
        <v>781</v>
      </c>
    </row>
    <row r="403" spans="1:33" x14ac:dyDescent="0.2">
      <c r="A403" t="s">
        <v>167</v>
      </c>
      <c r="B403" t="s">
        <v>41</v>
      </c>
      <c r="C403" t="s">
        <v>42</v>
      </c>
      <c r="D403">
        <v>66</v>
      </c>
      <c r="E403" t="s">
        <v>63</v>
      </c>
      <c r="F403">
        <v>328</v>
      </c>
      <c r="G403" t="s">
        <v>56</v>
      </c>
      <c r="H403" t="s">
        <v>437</v>
      </c>
      <c r="I403">
        <v>0</v>
      </c>
      <c r="J403">
        <v>1</v>
      </c>
      <c r="K403">
        <v>1</v>
      </c>
      <c r="L403" t="s">
        <v>46</v>
      </c>
      <c r="M403" t="s">
        <v>47</v>
      </c>
      <c r="N403" t="s">
        <v>782</v>
      </c>
      <c r="O403">
        <v>0</v>
      </c>
      <c r="P403">
        <v>0</v>
      </c>
      <c r="Q403">
        <v>0</v>
      </c>
      <c r="S403">
        <v>0</v>
      </c>
      <c r="T403">
        <v>2</v>
      </c>
      <c r="U403">
        <v>0</v>
      </c>
      <c r="V403" t="s">
        <v>60</v>
      </c>
      <c r="W403">
        <v>2</v>
      </c>
      <c r="X403">
        <v>2</v>
      </c>
      <c r="Y403">
        <v>0</v>
      </c>
      <c r="Z403" t="s">
        <v>46</v>
      </c>
      <c r="AA403">
        <v>0</v>
      </c>
      <c r="AB403">
        <v>3</v>
      </c>
      <c r="AC403">
        <v>0</v>
      </c>
      <c r="AD403">
        <v>0</v>
      </c>
      <c r="AE403">
        <v>0</v>
      </c>
      <c r="AF403">
        <v>1</v>
      </c>
      <c r="AG403" t="s">
        <v>783</v>
      </c>
    </row>
    <row r="404" spans="1:33" x14ac:dyDescent="0.2">
      <c r="A404" t="s">
        <v>76</v>
      </c>
      <c r="B404" t="s">
        <v>41</v>
      </c>
      <c r="C404" t="s">
        <v>42</v>
      </c>
      <c r="D404">
        <v>66</v>
      </c>
      <c r="E404" t="s">
        <v>43</v>
      </c>
      <c r="F404">
        <v>135</v>
      </c>
      <c r="G404" t="s">
        <v>44</v>
      </c>
      <c r="H404" t="s">
        <v>45</v>
      </c>
      <c r="I404">
        <v>0</v>
      </c>
      <c r="J404">
        <v>0</v>
      </c>
      <c r="K404">
        <v>1</v>
      </c>
      <c r="L404" t="s">
        <v>46</v>
      </c>
      <c r="M404" t="s">
        <v>47</v>
      </c>
      <c r="N404" t="s">
        <v>784</v>
      </c>
      <c r="O404">
        <v>0</v>
      </c>
      <c r="P404">
        <v>0</v>
      </c>
      <c r="Q404">
        <v>0</v>
      </c>
      <c r="S404">
        <v>1</v>
      </c>
      <c r="T404">
        <v>3</v>
      </c>
      <c r="U404">
        <v>0</v>
      </c>
      <c r="V404" t="s">
        <v>46</v>
      </c>
      <c r="W404">
        <v>2</v>
      </c>
      <c r="X404">
        <v>2</v>
      </c>
      <c r="Y404">
        <v>2</v>
      </c>
      <c r="Z404" t="s">
        <v>46</v>
      </c>
      <c r="AA404">
        <v>1</v>
      </c>
      <c r="AB404">
        <v>3</v>
      </c>
      <c r="AC404">
        <v>0</v>
      </c>
      <c r="AD404">
        <v>0</v>
      </c>
      <c r="AE404">
        <v>0</v>
      </c>
      <c r="AF404">
        <v>1</v>
      </c>
      <c r="AG404" t="s">
        <v>785</v>
      </c>
    </row>
    <row r="405" spans="1:33" x14ac:dyDescent="0.2">
      <c r="A405" t="s">
        <v>275</v>
      </c>
      <c r="B405" t="s">
        <v>41</v>
      </c>
      <c r="C405" t="s">
        <v>42</v>
      </c>
      <c r="D405">
        <v>66</v>
      </c>
      <c r="E405" t="s">
        <v>67</v>
      </c>
      <c r="F405">
        <v>5402</v>
      </c>
      <c r="G405" t="s">
        <v>71</v>
      </c>
      <c r="H405" t="s">
        <v>47</v>
      </c>
      <c r="I405">
        <v>0</v>
      </c>
      <c r="J405">
        <v>0</v>
      </c>
      <c r="K405">
        <v>1</v>
      </c>
      <c r="L405" t="s">
        <v>46</v>
      </c>
      <c r="M405" t="s">
        <v>47</v>
      </c>
      <c r="N405" t="s">
        <v>47</v>
      </c>
      <c r="O405">
        <v>0</v>
      </c>
      <c r="P405">
        <v>0</v>
      </c>
      <c r="Q405">
        <v>0</v>
      </c>
      <c r="S405">
        <v>0</v>
      </c>
      <c r="U405">
        <v>0</v>
      </c>
      <c r="V405" t="s">
        <v>46</v>
      </c>
      <c r="W405">
        <v>1</v>
      </c>
      <c r="X405">
        <v>1</v>
      </c>
      <c r="Y405">
        <v>0</v>
      </c>
      <c r="Z405" t="s">
        <v>46</v>
      </c>
      <c r="AA405">
        <v>0</v>
      </c>
      <c r="AB405">
        <v>3</v>
      </c>
      <c r="AC405">
        <v>0</v>
      </c>
      <c r="AD405">
        <v>1</v>
      </c>
      <c r="AE405">
        <v>0</v>
      </c>
      <c r="AF405">
        <v>0</v>
      </c>
      <c r="AG405" t="s">
        <v>777</v>
      </c>
    </row>
    <row r="406" spans="1:33" x14ac:dyDescent="0.2">
      <c r="A406" t="s">
        <v>135</v>
      </c>
      <c r="B406" t="s">
        <v>41</v>
      </c>
      <c r="C406" t="s">
        <v>42</v>
      </c>
      <c r="D406">
        <v>55</v>
      </c>
      <c r="E406" t="s">
        <v>85</v>
      </c>
      <c r="F406">
        <v>2909</v>
      </c>
      <c r="G406" t="s">
        <v>106</v>
      </c>
      <c r="H406" t="s">
        <v>87</v>
      </c>
      <c r="I406">
        <v>0</v>
      </c>
      <c r="J406">
        <v>0</v>
      </c>
      <c r="K406">
        <v>0</v>
      </c>
      <c r="L406" t="s">
        <v>46</v>
      </c>
      <c r="M406" t="s">
        <v>47</v>
      </c>
      <c r="N406" t="s">
        <v>437</v>
      </c>
      <c r="O406">
        <v>0</v>
      </c>
      <c r="P406">
        <v>0</v>
      </c>
      <c r="Q406">
        <v>0</v>
      </c>
      <c r="S406">
        <v>0</v>
      </c>
      <c r="T406">
        <v>2</v>
      </c>
      <c r="U406">
        <v>0</v>
      </c>
      <c r="V406" t="s">
        <v>60</v>
      </c>
      <c r="W406">
        <v>2</v>
      </c>
      <c r="X406">
        <v>1</v>
      </c>
      <c r="Y406">
        <v>0</v>
      </c>
      <c r="Z406" t="s">
        <v>49</v>
      </c>
      <c r="AA406">
        <v>0</v>
      </c>
      <c r="AB406">
        <v>3</v>
      </c>
      <c r="AC406">
        <v>1</v>
      </c>
      <c r="AD406">
        <v>1</v>
      </c>
      <c r="AE406">
        <v>0</v>
      </c>
      <c r="AF406">
        <v>0</v>
      </c>
      <c r="AG406" t="s">
        <v>667</v>
      </c>
    </row>
    <row r="407" spans="1:33" x14ac:dyDescent="0.2">
      <c r="A407" t="s">
        <v>97</v>
      </c>
      <c r="B407" t="s">
        <v>41</v>
      </c>
      <c r="C407" t="s">
        <v>42</v>
      </c>
      <c r="D407">
        <v>56</v>
      </c>
      <c r="E407" t="s">
        <v>85</v>
      </c>
      <c r="F407">
        <v>2867</v>
      </c>
      <c r="G407" t="s">
        <v>106</v>
      </c>
      <c r="H407" t="s">
        <v>57</v>
      </c>
      <c r="I407">
        <v>0</v>
      </c>
      <c r="J407">
        <v>0</v>
      </c>
      <c r="K407">
        <v>1</v>
      </c>
      <c r="L407" t="s">
        <v>46</v>
      </c>
      <c r="M407" t="s">
        <v>47</v>
      </c>
      <c r="N407" t="s">
        <v>673</v>
      </c>
      <c r="O407">
        <v>0</v>
      </c>
      <c r="P407">
        <v>0</v>
      </c>
      <c r="Q407">
        <v>0</v>
      </c>
      <c r="S407">
        <v>0</v>
      </c>
      <c r="T407">
        <v>3</v>
      </c>
      <c r="U407">
        <v>0</v>
      </c>
      <c r="V407" t="s">
        <v>141</v>
      </c>
      <c r="W407">
        <v>2</v>
      </c>
      <c r="X407">
        <v>1</v>
      </c>
      <c r="Y407">
        <v>0</v>
      </c>
      <c r="Z407" t="s">
        <v>46</v>
      </c>
      <c r="AA407">
        <v>0</v>
      </c>
      <c r="AB407">
        <v>3</v>
      </c>
      <c r="AC407">
        <v>0</v>
      </c>
      <c r="AD407">
        <v>0</v>
      </c>
      <c r="AE407">
        <v>0</v>
      </c>
      <c r="AF407">
        <v>0</v>
      </c>
      <c r="AG407" t="s">
        <v>674</v>
      </c>
    </row>
    <row r="408" spans="1:33" x14ac:dyDescent="0.2">
      <c r="A408" t="s">
        <v>97</v>
      </c>
      <c r="B408" t="s">
        <v>41</v>
      </c>
      <c r="C408" t="s">
        <v>42</v>
      </c>
      <c r="D408">
        <v>57</v>
      </c>
      <c r="E408" t="s">
        <v>85</v>
      </c>
      <c r="F408">
        <v>45</v>
      </c>
      <c r="G408" t="s">
        <v>71</v>
      </c>
      <c r="H408" t="s">
        <v>47</v>
      </c>
      <c r="I408">
        <v>1</v>
      </c>
      <c r="J408">
        <v>0</v>
      </c>
      <c r="K408">
        <v>1</v>
      </c>
      <c r="L408" t="s">
        <v>46</v>
      </c>
      <c r="M408" t="s">
        <v>47</v>
      </c>
      <c r="N408" t="s">
        <v>172</v>
      </c>
      <c r="O408">
        <v>0</v>
      </c>
      <c r="P408">
        <v>0</v>
      </c>
      <c r="Q408">
        <v>0</v>
      </c>
      <c r="S408">
        <v>0</v>
      </c>
      <c r="T408">
        <v>0</v>
      </c>
      <c r="U408">
        <v>0</v>
      </c>
      <c r="V408" t="s">
        <v>60</v>
      </c>
      <c r="W408">
        <v>3</v>
      </c>
      <c r="X408">
        <v>1</v>
      </c>
      <c r="Y408">
        <v>0</v>
      </c>
      <c r="Z408" t="s">
        <v>46</v>
      </c>
      <c r="AA408">
        <v>0</v>
      </c>
      <c r="AB408">
        <v>3</v>
      </c>
      <c r="AC408">
        <v>0</v>
      </c>
      <c r="AD408">
        <v>0</v>
      </c>
      <c r="AE408">
        <v>0</v>
      </c>
      <c r="AF408">
        <v>0</v>
      </c>
    </row>
    <row r="409" spans="1:33" x14ac:dyDescent="0.2">
      <c r="A409" t="s">
        <v>97</v>
      </c>
      <c r="B409" t="s">
        <v>41</v>
      </c>
      <c r="C409" t="s">
        <v>42</v>
      </c>
      <c r="D409">
        <v>58</v>
      </c>
      <c r="E409" t="s">
        <v>85</v>
      </c>
      <c r="F409">
        <v>2909</v>
      </c>
      <c r="G409" t="s">
        <v>71</v>
      </c>
      <c r="H409" t="s">
        <v>47</v>
      </c>
      <c r="I409">
        <v>1</v>
      </c>
      <c r="J409">
        <v>0</v>
      </c>
      <c r="K409">
        <v>1</v>
      </c>
      <c r="L409" t="s">
        <v>46</v>
      </c>
      <c r="M409" t="s">
        <v>47</v>
      </c>
      <c r="N409" t="s">
        <v>56</v>
      </c>
      <c r="O409">
        <v>0</v>
      </c>
      <c r="P409">
        <v>0</v>
      </c>
      <c r="Q409">
        <v>1</v>
      </c>
      <c r="R409">
        <v>6721</v>
      </c>
      <c r="S409">
        <v>0</v>
      </c>
      <c r="U409">
        <v>0</v>
      </c>
      <c r="V409" t="s">
        <v>46</v>
      </c>
      <c r="W409">
        <v>2</v>
      </c>
      <c r="X409">
        <v>1</v>
      </c>
      <c r="Y409">
        <v>0</v>
      </c>
      <c r="Z409" t="s">
        <v>46</v>
      </c>
      <c r="AA409">
        <v>0</v>
      </c>
      <c r="AB409">
        <v>3</v>
      </c>
      <c r="AC409">
        <v>1</v>
      </c>
      <c r="AD409">
        <v>0</v>
      </c>
      <c r="AE409">
        <v>0</v>
      </c>
      <c r="AF409">
        <v>0</v>
      </c>
      <c r="AG409" t="s">
        <v>708</v>
      </c>
    </row>
    <row r="410" spans="1:33" x14ac:dyDescent="0.2">
      <c r="A410" t="s">
        <v>97</v>
      </c>
      <c r="B410" t="s">
        <v>41</v>
      </c>
      <c r="C410" t="s">
        <v>42</v>
      </c>
      <c r="D410">
        <v>59</v>
      </c>
      <c r="E410" t="s">
        <v>85</v>
      </c>
      <c r="F410">
        <v>1501</v>
      </c>
      <c r="G410" t="s">
        <v>72</v>
      </c>
      <c r="H410" t="s">
        <v>73</v>
      </c>
      <c r="I410">
        <v>1</v>
      </c>
      <c r="J410">
        <v>1</v>
      </c>
      <c r="K410">
        <v>1</v>
      </c>
      <c r="L410" t="s">
        <v>46</v>
      </c>
      <c r="M410" t="s">
        <v>47</v>
      </c>
      <c r="N410" t="s">
        <v>709</v>
      </c>
      <c r="O410">
        <v>0</v>
      </c>
      <c r="P410">
        <v>0</v>
      </c>
      <c r="Q410">
        <v>0</v>
      </c>
      <c r="S410">
        <v>1</v>
      </c>
      <c r="T410">
        <v>0</v>
      </c>
      <c r="U410">
        <v>0</v>
      </c>
      <c r="V410" t="s">
        <v>60</v>
      </c>
      <c r="W410">
        <v>3</v>
      </c>
      <c r="X410">
        <v>1</v>
      </c>
      <c r="Y410">
        <v>1</v>
      </c>
      <c r="Z410" t="s">
        <v>46</v>
      </c>
      <c r="AA410">
        <v>1</v>
      </c>
      <c r="AB410">
        <v>3</v>
      </c>
      <c r="AC410">
        <v>0</v>
      </c>
      <c r="AD410">
        <v>0</v>
      </c>
      <c r="AE410">
        <v>0</v>
      </c>
      <c r="AF410">
        <v>1</v>
      </c>
    </row>
    <row r="411" spans="1:33" x14ac:dyDescent="0.2">
      <c r="A411" t="s">
        <v>50</v>
      </c>
      <c r="B411" t="s">
        <v>41</v>
      </c>
      <c r="C411" t="s">
        <v>42</v>
      </c>
      <c r="D411">
        <v>60</v>
      </c>
      <c r="E411" t="s">
        <v>85</v>
      </c>
      <c r="F411">
        <v>868</v>
      </c>
      <c r="G411" t="s">
        <v>68</v>
      </c>
      <c r="H411" t="s">
        <v>87</v>
      </c>
      <c r="I411">
        <v>0</v>
      </c>
      <c r="J411">
        <v>0</v>
      </c>
      <c r="K411">
        <v>1</v>
      </c>
      <c r="L411" t="s">
        <v>60</v>
      </c>
      <c r="M411" t="s">
        <v>47</v>
      </c>
      <c r="N411" t="s">
        <v>47</v>
      </c>
      <c r="O411">
        <v>0</v>
      </c>
      <c r="P411">
        <v>1</v>
      </c>
      <c r="Q411">
        <v>0</v>
      </c>
      <c r="S411">
        <v>0</v>
      </c>
      <c r="T411">
        <v>1</v>
      </c>
      <c r="U411">
        <v>0</v>
      </c>
      <c r="V411" t="s">
        <v>60</v>
      </c>
      <c r="W411">
        <v>2</v>
      </c>
      <c r="X411">
        <v>1</v>
      </c>
      <c r="Y411">
        <v>0</v>
      </c>
      <c r="Z411" t="s">
        <v>46</v>
      </c>
      <c r="AA411">
        <v>1</v>
      </c>
      <c r="AB411">
        <v>4</v>
      </c>
      <c r="AC411">
        <v>0</v>
      </c>
      <c r="AD411">
        <v>0</v>
      </c>
      <c r="AE411">
        <v>1</v>
      </c>
      <c r="AF411">
        <v>0</v>
      </c>
      <c r="AG411" t="s">
        <v>721</v>
      </c>
    </row>
    <row r="412" spans="1:33" x14ac:dyDescent="0.2">
      <c r="A412" t="s">
        <v>135</v>
      </c>
      <c r="B412" t="s">
        <v>41</v>
      </c>
      <c r="C412" t="s">
        <v>42</v>
      </c>
      <c r="D412">
        <v>62</v>
      </c>
      <c r="E412" t="s">
        <v>85</v>
      </c>
      <c r="F412">
        <v>2867</v>
      </c>
      <c r="G412" t="s">
        <v>68</v>
      </c>
      <c r="H412" t="s">
        <v>47</v>
      </c>
      <c r="I412">
        <v>0</v>
      </c>
      <c r="J412">
        <v>0</v>
      </c>
      <c r="K412">
        <v>1</v>
      </c>
      <c r="L412" t="s">
        <v>46</v>
      </c>
      <c r="M412" t="s">
        <v>47</v>
      </c>
      <c r="N412" t="s">
        <v>743</v>
      </c>
      <c r="O412">
        <v>0</v>
      </c>
      <c r="P412">
        <v>0</v>
      </c>
      <c r="Q412">
        <v>0</v>
      </c>
      <c r="S412">
        <v>0</v>
      </c>
      <c r="T412">
        <v>3</v>
      </c>
      <c r="U412">
        <v>0</v>
      </c>
      <c r="V412" t="s">
        <v>53</v>
      </c>
      <c r="W412">
        <v>1</v>
      </c>
      <c r="X412">
        <v>1</v>
      </c>
      <c r="Y412">
        <v>0</v>
      </c>
      <c r="Z412" t="s">
        <v>46</v>
      </c>
      <c r="AA412">
        <v>0</v>
      </c>
      <c r="AB412">
        <v>3</v>
      </c>
      <c r="AC412">
        <v>0</v>
      </c>
      <c r="AD412">
        <v>1</v>
      </c>
      <c r="AE412">
        <v>1</v>
      </c>
      <c r="AF412">
        <v>0</v>
      </c>
      <c r="AG412" t="s">
        <v>744</v>
      </c>
    </row>
    <row r="413" spans="1:33" x14ac:dyDescent="0.2">
      <c r="A413" t="s">
        <v>135</v>
      </c>
      <c r="B413" t="s">
        <v>41</v>
      </c>
      <c r="C413" t="s">
        <v>42</v>
      </c>
      <c r="D413">
        <v>63</v>
      </c>
      <c r="E413" t="s">
        <v>85</v>
      </c>
      <c r="F413">
        <v>461</v>
      </c>
      <c r="G413" t="s">
        <v>72</v>
      </c>
      <c r="H413" t="s">
        <v>93</v>
      </c>
      <c r="I413">
        <v>1</v>
      </c>
      <c r="J413">
        <v>0</v>
      </c>
      <c r="K413">
        <v>1</v>
      </c>
      <c r="L413" t="s">
        <v>46</v>
      </c>
      <c r="M413" t="s">
        <v>47</v>
      </c>
      <c r="N413" t="s">
        <v>753</v>
      </c>
      <c r="O413">
        <v>0</v>
      </c>
      <c r="P413">
        <v>1</v>
      </c>
      <c r="Q413">
        <v>0</v>
      </c>
      <c r="S413">
        <v>1</v>
      </c>
      <c r="T413">
        <v>3</v>
      </c>
      <c r="U413">
        <v>0</v>
      </c>
      <c r="V413" t="s">
        <v>60</v>
      </c>
      <c r="W413">
        <v>3</v>
      </c>
      <c r="X413">
        <v>2</v>
      </c>
      <c r="Y413">
        <v>0</v>
      </c>
      <c r="Z413" t="s">
        <v>60</v>
      </c>
      <c r="AA413">
        <v>0</v>
      </c>
      <c r="AB413">
        <v>5</v>
      </c>
      <c r="AC413">
        <v>0</v>
      </c>
      <c r="AD413">
        <v>0</v>
      </c>
      <c r="AE413">
        <v>0</v>
      </c>
      <c r="AF413">
        <v>1</v>
      </c>
      <c r="AG413" t="s">
        <v>754</v>
      </c>
    </row>
    <row r="414" spans="1:33" x14ac:dyDescent="0.2">
      <c r="A414" t="s">
        <v>135</v>
      </c>
      <c r="B414" t="s">
        <v>41</v>
      </c>
      <c r="C414" t="s">
        <v>42</v>
      </c>
      <c r="D414">
        <v>64</v>
      </c>
      <c r="E414" t="s">
        <v>85</v>
      </c>
      <c r="F414">
        <v>862</v>
      </c>
      <c r="G414" t="s">
        <v>68</v>
      </c>
      <c r="H414" t="s">
        <v>129</v>
      </c>
      <c r="I414">
        <v>0</v>
      </c>
      <c r="J414">
        <v>1</v>
      </c>
      <c r="K414">
        <v>1</v>
      </c>
      <c r="L414" t="s">
        <v>60</v>
      </c>
      <c r="M414" t="s">
        <v>47</v>
      </c>
      <c r="N414" t="s">
        <v>764</v>
      </c>
      <c r="O414">
        <v>0</v>
      </c>
      <c r="P414">
        <v>0</v>
      </c>
      <c r="Q414">
        <v>0</v>
      </c>
      <c r="S414">
        <v>0</v>
      </c>
      <c r="T414">
        <v>2</v>
      </c>
      <c r="U414">
        <v>0</v>
      </c>
      <c r="V414" t="s">
        <v>49</v>
      </c>
      <c r="W414">
        <v>0</v>
      </c>
      <c r="X414">
        <v>1</v>
      </c>
      <c r="Y414">
        <v>0</v>
      </c>
      <c r="Z414" t="s">
        <v>49</v>
      </c>
      <c r="AA414">
        <v>0</v>
      </c>
      <c r="AB414">
        <v>2</v>
      </c>
      <c r="AC414">
        <v>0</v>
      </c>
      <c r="AD414">
        <v>0</v>
      </c>
      <c r="AE414">
        <v>1</v>
      </c>
      <c r="AF414">
        <v>0</v>
      </c>
      <c r="AG414" t="s">
        <v>765</v>
      </c>
    </row>
    <row r="415" spans="1:33" x14ac:dyDescent="0.2">
      <c r="A415" t="s">
        <v>135</v>
      </c>
      <c r="B415" t="s">
        <v>41</v>
      </c>
      <c r="C415" t="s">
        <v>42</v>
      </c>
      <c r="D415">
        <v>65</v>
      </c>
      <c r="E415" t="s">
        <v>85</v>
      </c>
      <c r="F415">
        <v>3865</v>
      </c>
      <c r="G415" t="s">
        <v>68</v>
      </c>
      <c r="H415" t="s">
        <v>87</v>
      </c>
      <c r="I415">
        <v>0</v>
      </c>
      <c r="J415">
        <v>0</v>
      </c>
      <c r="K415">
        <v>1</v>
      </c>
      <c r="L415" t="s">
        <v>46</v>
      </c>
      <c r="M415" t="s">
        <v>47</v>
      </c>
      <c r="N415" t="s">
        <v>773</v>
      </c>
      <c r="O415">
        <v>0</v>
      </c>
      <c r="P415">
        <v>0</v>
      </c>
      <c r="Q415">
        <v>0</v>
      </c>
      <c r="S415">
        <v>0</v>
      </c>
      <c r="T415">
        <v>3</v>
      </c>
      <c r="U415">
        <v>0</v>
      </c>
      <c r="V415" t="s">
        <v>46</v>
      </c>
      <c r="W415">
        <v>2</v>
      </c>
      <c r="X415">
        <v>1</v>
      </c>
      <c r="Y415">
        <v>0</v>
      </c>
      <c r="Z415" t="s">
        <v>49</v>
      </c>
      <c r="AA415">
        <v>0</v>
      </c>
      <c r="AB415">
        <v>3</v>
      </c>
      <c r="AC415">
        <v>0</v>
      </c>
      <c r="AD415">
        <v>1</v>
      </c>
      <c r="AE415">
        <v>0</v>
      </c>
      <c r="AF415">
        <v>0</v>
      </c>
    </row>
    <row r="416" spans="1:33" x14ac:dyDescent="0.2">
      <c r="A416" t="s">
        <v>135</v>
      </c>
      <c r="B416" t="s">
        <v>41</v>
      </c>
      <c r="C416" t="s">
        <v>42</v>
      </c>
      <c r="D416">
        <v>66</v>
      </c>
      <c r="E416" t="s">
        <v>85</v>
      </c>
      <c r="F416">
        <v>4926</v>
      </c>
      <c r="G416" t="s">
        <v>68</v>
      </c>
      <c r="H416" t="s">
        <v>47</v>
      </c>
      <c r="I416">
        <v>0</v>
      </c>
      <c r="J416">
        <v>0</v>
      </c>
      <c r="K416">
        <v>1</v>
      </c>
      <c r="L416" t="s">
        <v>60</v>
      </c>
      <c r="M416" t="s">
        <v>47</v>
      </c>
      <c r="N416" t="s">
        <v>47</v>
      </c>
      <c r="O416">
        <v>0</v>
      </c>
      <c r="P416">
        <v>0</v>
      </c>
      <c r="Q416">
        <v>0</v>
      </c>
      <c r="S416">
        <v>0</v>
      </c>
      <c r="U416">
        <v>0</v>
      </c>
      <c r="V416" t="s">
        <v>46</v>
      </c>
      <c r="W416">
        <v>0</v>
      </c>
      <c r="X416">
        <v>0</v>
      </c>
      <c r="Y416">
        <v>0</v>
      </c>
      <c r="Z416" t="s">
        <v>54</v>
      </c>
      <c r="AA416">
        <v>0</v>
      </c>
      <c r="AB416">
        <v>1</v>
      </c>
      <c r="AC416">
        <v>0</v>
      </c>
      <c r="AD416">
        <v>0</v>
      </c>
      <c r="AE416">
        <v>0</v>
      </c>
      <c r="AF416">
        <v>0</v>
      </c>
      <c r="AG416" t="s">
        <v>776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rocess1QRCodeInput">
                <anchor moveWithCells="1" sizeWithCells="1">
                  <from>
                    <xdr:col>8</xdr:col>
                    <xdr:colOff>25400</xdr:colOff>
                    <xdr:row>417</xdr:row>
                    <xdr:rowOff>38100</xdr:rowOff>
                  </from>
                  <to>
                    <xdr:col>10</xdr:col>
                    <xdr:colOff>673100</xdr:colOff>
                    <xdr:row>420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process6QRCodeInput">
                <anchor moveWithCells="1" sizeWithCells="1">
                  <from>
                    <xdr:col>1</xdr:col>
                    <xdr:colOff>114300</xdr:colOff>
                    <xdr:row>417</xdr:row>
                    <xdr:rowOff>63500</xdr:rowOff>
                  </from>
                  <to>
                    <xdr:col>4</xdr:col>
                    <xdr:colOff>101600</xdr:colOff>
                    <xdr:row>419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testSaveData">
                <anchor moveWithCells="1" sizeWithCells="1">
                  <from>
                    <xdr:col>1</xdr:col>
                    <xdr:colOff>114300</xdr:colOff>
                    <xdr:row>420</xdr:row>
                    <xdr:rowOff>165100</xdr:rowOff>
                  </from>
                  <to>
                    <xdr:col>4</xdr:col>
                    <xdr:colOff>101600</xdr:colOff>
                    <xdr:row>422</xdr:row>
                    <xdr:rowOff>177800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6C7523-90D9-447C-A12E-E20E89D9F57C}">
  <dimension ref="A1:C9"/>
  <sheetViews>
    <sheetView tabSelected="1" zoomScale="250" zoomScaleNormal="250" workbookViewId="0">
      <selection activeCell="B12" sqref="B12"/>
    </sheetView>
  </sheetViews>
  <sheetFormatPr baseColWidth="10" defaultColWidth="8.83203125" defaultRowHeight="15" x14ac:dyDescent="0.2"/>
  <cols>
    <col min="1" max="1" width="6.5" style="2" bestFit="1" customWidth="1"/>
    <col min="2" max="2" width="55.5" bestFit="1" customWidth="1"/>
    <col min="3" max="3" width="9.5" bestFit="1" customWidth="1"/>
  </cols>
  <sheetData>
    <row r="1" spans="1:3" s="2" customFormat="1" x14ac:dyDescent="0.2">
      <c r="B1" s="2" t="s">
        <v>807</v>
      </c>
      <c r="C1" s="2" t="s">
        <v>814</v>
      </c>
    </row>
    <row r="2" spans="1:3" x14ac:dyDescent="0.2">
      <c r="A2" s="2" t="s">
        <v>808</v>
      </c>
      <c r="B2" t="s">
        <v>817</v>
      </c>
      <c r="C2">
        <f>1200/66</f>
        <v>18.181818181818183</v>
      </c>
    </row>
    <row r="3" spans="1:3" x14ac:dyDescent="0.2">
      <c r="A3" s="2" t="s">
        <v>809</v>
      </c>
      <c r="B3" t="s">
        <v>818</v>
      </c>
      <c r="C3">
        <f>1200/66</f>
        <v>18.181818181818183</v>
      </c>
    </row>
    <row r="4" spans="1:3" x14ac:dyDescent="0.2">
      <c r="A4" s="2" t="s">
        <v>810</v>
      </c>
      <c r="B4" t="s">
        <v>819</v>
      </c>
      <c r="C4">
        <f>1900/66</f>
        <v>28.787878787878789</v>
      </c>
    </row>
    <row r="5" spans="1:3" x14ac:dyDescent="0.2">
      <c r="A5" s="2" t="s">
        <v>811</v>
      </c>
      <c r="B5" t="s">
        <v>815</v>
      </c>
      <c r="C5">
        <f>1800/66</f>
        <v>27.272727272727273</v>
      </c>
    </row>
    <row r="6" spans="1:3" x14ac:dyDescent="0.2">
      <c r="A6" s="2" t="s">
        <v>813</v>
      </c>
      <c r="B6" t="s">
        <v>816</v>
      </c>
      <c r="C6">
        <f>700/66</f>
        <v>10.606060606060606</v>
      </c>
    </row>
    <row r="7" spans="1:3" x14ac:dyDescent="0.2">
      <c r="A7" s="2" t="s">
        <v>812</v>
      </c>
      <c r="B7" t="s">
        <v>820</v>
      </c>
      <c r="C7">
        <f>800/66</f>
        <v>12.121212121212121</v>
      </c>
    </row>
    <row r="9" spans="1:3" x14ac:dyDescent="0.2">
      <c r="B9" s="3" t="s">
        <v>821</v>
      </c>
    </row>
  </sheetData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Control</vt:lpstr>
      <vt:lpstr>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Solid_Works3</dc:creator>
  <cp:lastModifiedBy>Amelia Bingaman</cp:lastModifiedBy>
  <dcterms:created xsi:type="dcterms:W3CDTF">2022-01-08T05:41:38Z</dcterms:created>
  <dcterms:modified xsi:type="dcterms:W3CDTF">2023-03-14T00:46:21Z</dcterms:modified>
</cp:coreProperties>
</file>